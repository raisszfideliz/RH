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ivoscredi-my.sharepoint.com/personal/raissa_borges_ativossa_com_br/Documents/"/>
    </mc:Choice>
  </mc:AlternateContent>
  <xr:revisionPtr revIDLastSave="0" documentId="8_{8C7CEB82-9C3B-4EDA-90C8-88C24154DEA9}" xr6:coauthVersionLast="47" xr6:coauthVersionMax="47" xr10:uidLastSave="{00000000-0000-0000-0000-000000000000}"/>
  <bookViews>
    <workbookView xWindow="28680" yWindow="-1785" windowWidth="29040" windowHeight="15720" xr2:uid="{BE8D63F4-AAD4-4DFA-BA13-49F4EA1817BD}"/>
  </bookViews>
  <sheets>
    <sheet name="Dados VR" sheetId="1" r:id="rId1"/>
    <sheet name="Dados de Apo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D2" i="1"/>
  <c r="E2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E12" i="1" l="1"/>
</calcChain>
</file>

<file path=xl/sharedStrings.xml><?xml version="1.0" encoding="utf-8"?>
<sst xmlns="http://schemas.openxmlformats.org/spreadsheetml/2006/main" count="25" uniqueCount="25">
  <si>
    <t>Colaradores</t>
  </si>
  <si>
    <t xml:space="preserve">João </t>
  </si>
  <si>
    <t>José</t>
  </si>
  <si>
    <t>Maria</t>
  </si>
  <si>
    <t>Ana</t>
  </si>
  <si>
    <t>Sabrina</t>
  </si>
  <si>
    <t>Carlos</t>
  </si>
  <si>
    <t xml:space="preserve">Fernando </t>
  </si>
  <si>
    <t xml:space="preserve">Pedro </t>
  </si>
  <si>
    <t xml:space="preserve">Claúdio </t>
  </si>
  <si>
    <t>Guilherme</t>
  </si>
  <si>
    <t>CPF</t>
  </si>
  <si>
    <t xml:space="preserve">Ausências no mês </t>
  </si>
  <si>
    <t>Dias Trabalhados</t>
  </si>
  <si>
    <t>Valor VR</t>
  </si>
  <si>
    <t>Dados de Apoio</t>
  </si>
  <si>
    <t xml:space="preserve">Valor/Dia </t>
  </si>
  <si>
    <t>Vale Refeição</t>
  </si>
  <si>
    <t>Dias Úteis</t>
  </si>
  <si>
    <t>SUBTOTAL:</t>
  </si>
  <si>
    <t>Análises</t>
  </si>
  <si>
    <t>Categoria</t>
  </si>
  <si>
    <t xml:space="preserve">Valor </t>
  </si>
  <si>
    <t>Média dos dias trabalhados</t>
  </si>
  <si>
    <t>Proporcional aos dias úteis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</si>
</sst>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R$&quot;\ #,##0.00"/>
    <numFmt numFmtId="170" formatCode="0.00000E+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0" fontId="0" fillId="0" borderId="0" xfId="0" applyNumberFormat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1" xfId="0" applyFill="1" applyBorder="1"/>
    <xf numFmtId="9" fontId="0" fillId="0" borderId="1" xfId="1" applyFont="1" applyBorder="1"/>
    <xf numFmtId="0" fontId="3" fillId="3" borderId="1" xfId="0" applyFont="1" applyFill="1" applyBorder="1" applyAlignment="1">
      <alignment horizontal="center"/>
    </xf>
    <xf numFmtId="0" fontId="4" fillId="0" borderId="0" xfId="0" applyFont="1"/>
  </cellXfs>
  <cellStyles count="2">
    <cellStyle name="Normal" xfId="0" builtinId="0"/>
    <cellStyle name="Porcentagem" xfId="1" builtinId="5"/>
  </cellStyles>
  <dxfs count="8">
    <dxf>
      <numFmt numFmtId="165" formatCode="&quot;R$&quot;\ #,##0.00"/>
      <alignment horizontal="center" vertical="bottom" textRotation="0" wrapText="0" indent="0" justifyLastLine="0" shrinkToFit="0" readingOrder="0"/>
    </dxf>
    <dxf>
      <numFmt numFmtId="165" formatCode="&quot;R$&quot;\ #,##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926F2-DB03-494B-BA0B-5F89D094D575}" name="Tabela1" displayName="Tabela1" ref="A1:E12" totalsRowCount="1">
  <autoFilter ref="A1:E11" xr:uid="{FEF926F2-DB03-494B-BA0B-5F89D094D575}"/>
  <sortState xmlns:xlrd2="http://schemas.microsoft.com/office/spreadsheetml/2017/richdata2" ref="A2:D11">
    <sortCondition ref="A1:A11"/>
  </sortState>
  <tableColumns count="5">
    <tableColumn id="1" xr3:uid="{490F2C0B-A7CD-422D-BA37-0C048ABC1E18}" name="Colaradores" totalsRowLabel="SUBTOTAL:"/>
    <tableColumn id="2" xr3:uid="{E6EDB3CD-7285-437F-92CA-430210AB9702}" name="CPF" dataDxfId="7" totalsRowDxfId="6"/>
    <tableColumn id="3" xr3:uid="{99F57353-3F4F-4224-BEE0-49BE55B643DF}" name="Ausências no mês " dataDxfId="5" totalsRowDxfId="4"/>
    <tableColumn id="4" xr3:uid="{EF667173-A828-4F7F-BC9D-9D9BF5EE1E4E}" name="Dias Trabalhados" dataDxfId="3" totalsRowDxfId="2">
      <calculatedColumnFormula>'Dados de Apoio'!B$3-Tabela1[[#This Row],[Ausências no mês ]]</calculatedColumnFormula>
    </tableColumn>
    <tableColumn id="6" xr3:uid="{E6F69246-E308-4B5D-87DC-437862DF69EC}" name="Valor VR" totalsRowFunction="sum" dataDxfId="1" totalsRowDxfId="0">
      <calculatedColumnFormula>'Dados de Apoio'!B$2*Tabela1[[#This Row],[Dias Trabalhados]]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14C0-1BDB-458E-A8FD-59A816264EE1}">
  <dimension ref="A1:I12"/>
  <sheetViews>
    <sheetView tabSelected="1" zoomScale="154" zoomScaleNormal="154" workbookViewId="0">
      <selection activeCell="H6" sqref="H6"/>
    </sheetView>
  </sheetViews>
  <sheetFormatPr defaultRowHeight="14.5" x14ac:dyDescent="0.35"/>
  <cols>
    <col min="1" max="1" width="13.08984375" customWidth="1"/>
    <col min="2" max="2" width="12.54296875" customWidth="1"/>
    <col min="3" max="3" width="17.6328125" customWidth="1"/>
    <col min="4" max="4" width="17" customWidth="1"/>
    <col min="5" max="5" width="10.7265625" style="11" customWidth="1"/>
    <col min="8" max="8" width="24.26953125" customWidth="1"/>
  </cols>
  <sheetData>
    <row r="1" spans="1:9" x14ac:dyDescent="0.35">
      <c r="A1" t="s">
        <v>0</v>
      </c>
      <c r="B1" t="s">
        <v>11</v>
      </c>
      <c r="C1" s="2" t="s">
        <v>12</v>
      </c>
      <c r="D1" s="4" t="s">
        <v>13</v>
      </c>
      <c r="E1" s="11" t="s">
        <v>14</v>
      </c>
      <c r="H1" s="15" t="s">
        <v>20</v>
      </c>
      <c r="I1" s="15"/>
    </row>
    <row r="2" spans="1:9" x14ac:dyDescent="0.35">
      <c r="A2" t="s">
        <v>4</v>
      </c>
      <c r="B2" s="1">
        <v>44444444444</v>
      </c>
      <c r="C2" s="3">
        <v>5</v>
      </c>
      <c r="D2" s="4">
        <f>'Dados de Apoio'!B$3-Tabela1[[#This Row],[Ausências no mês ]]</f>
        <v>17</v>
      </c>
      <c r="E2" s="11">
        <f>'Dados de Apoio'!B$2*Tabela1[[#This Row],[Dias Trabalhados]]</f>
        <v>561</v>
      </c>
      <c r="H2" s="13" t="s">
        <v>21</v>
      </c>
      <c r="I2" s="13" t="s">
        <v>22</v>
      </c>
    </row>
    <row r="3" spans="1:9" x14ac:dyDescent="0.35">
      <c r="A3" t="s">
        <v>6</v>
      </c>
      <c r="B3" s="1">
        <v>66666666666</v>
      </c>
      <c r="C3" s="3">
        <v>7</v>
      </c>
      <c r="D3" s="4">
        <f>'Dados de Apoio'!B$3-Tabela1[[#This Row],[Ausências no mês ]]</f>
        <v>15</v>
      </c>
      <c r="E3" s="11">
        <f>'Dados de Apoio'!B$2*Tabela1[[#This Row],[Dias Trabalhados]]</f>
        <v>495</v>
      </c>
      <c r="H3" s="8" t="s">
        <v>23</v>
      </c>
      <c r="I3" s="8">
        <f>AVERAGE(Tabela1[Dias Trabalhados])</f>
        <v>19.8</v>
      </c>
    </row>
    <row r="4" spans="1:9" x14ac:dyDescent="0.35">
      <c r="A4" t="s">
        <v>9</v>
      </c>
      <c r="B4" s="1">
        <v>99999999999</v>
      </c>
      <c r="C4" s="3">
        <v>0</v>
      </c>
      <c r="D4" s="4">
        <f>'Dados de Apoio'!B$3-Tabela1[[#This Row],[Ausências no mês ]]</f>
        <v>22</v>
      </c>
      <c r="E4" s="11">
        <f>'Dados de Apoio'!B$2*Tabela1[[#This Row],[Dias Trabalhados]]</f>
        <v>726</v>
      </c>
      <c r="H4" s="8" t="s">
        <v>24</v>
      </c>
      <c r="I4" s="14">
        <f>I3/'Dados de Apoio'!B3</f>
        <v>0.9</v>
      </c>
    </row>
    <row r="5" spans="1:9" x14ac:dyDescent="0.35">
      <c r="A5" t="s">
        <v>7</v>
      </c>
      <c r="B5" s="1">
        <v>77777777777</v>
      </c>
      <c r="C5" s="3">
        <v>0</v>
      </c>
      <c r="D5" s="4">
        <f>'Dados de Apoio'!B$3-Tabela1[[#This Row],[Ausências no mês ]]</f>
        <v>22</v>
      </c>
      <c r="E5" s="11">
        <f>'Dados de Apoio'!B$2*Tabela1[[#This Row],[Dias Trabalhados]]</f>
        <v>726</v>
      </c>
    </row>
    <row r="6" spans="1:9" x14ac:dyDescent="0.35">
      <c r="A6" t="s">
        <v>10</v>
      </c>
      <c r="B6" s="5">
        <v>111111111110</v>
      </c>
      <c r="C6" s="3">
        <v>0</v>
      </c>
      <c r="D6" s="4">
        <f>'Dados de Apoio'!B$3-Tabela1[[#This Row],[Ausências no mês ]]</f>
        <v>22</v>
      </c>
      <c r="E6" s="11">
        <f>'Dados de Apoio'!B$2*Tabela1[[#This Row],[Dias Trabalhados]]</f>
        <v>726</v>
      </c>
      <c r="H6" s="16"/>
    </row>
    <row r="7" spans="1:9" x14ac:dyDescent="0.35">
      <c r="A7" t="s">
        <v>1</v>
      </c>
      <c r="B7" s="1">
        <v>11111111111</v>
      </c>
      <c r="C7" s="3">
        <v>2</v>
      </c>
      <c r="D7" s="4">
        <f>'Dados de Apoio'!B$3-Tabela1[[#This Row],[Ausências no mês ]]</f>
        <v>20</v>
      </c>
      <c r="E7" s="11">
        <f>'Dados de Apoio'!B$2*Tabela1[[#This Row],[Dias Trabalhados]]</f>
        <v>660</v>
      </c>
    </row>
    <row r="8" spans="1:9" x14ac:dyDescent="0.35">
      <c r="A8" t="s">
        <v>2</v>
      </c>
      <c r="B8" s="1">
        <v>22222222222</v>
      </c>
      <c r="C8" s="3">
        <v>3</v>
      </c>
      <c r="D8" s="4">
        <f>'Dados de Apoio'!B$3-Tabela1[[#This Row],[Ausências no mês ]]</f>
        <v>19</v>
      </c>
      <c r="E8" s="11">
        <f>'Dados de Apoio'!B$2*Tabela1[[#This Row],[Dias Trabalhados]]</f>
        <v>627</v>
      </c>
    </row>
    <row r="9" spans="1:9" x14ac:dyDescent="0.35">
      <c r="A9" t="s">
        <v>3</v>
      </c>
      <c r="B9" s="1">
        <v>33333333333</v>
      </c>
      <c r="C9" s="3">
        <v>1</v>
      </c>
      <c r="D9" s="4">
        <f>'Dados de Apoio'!B$3-Tabela1[[#This Row],[Ausências no mês ]]</f>
        <v>21</v>
      </c>
      <c r="E9" s="11">
        <f>'Dados de Apoio'!B$2*Tabela1[[#This Row],[Dias Trabalhados]]</f>
        <v>693</v>
      </c>
    </row>
    <row r="10" spans="1:9" x14ac:dyDescent="0.35">
      <c r="A10" t="s">
        <v>8</v>
      </c>
      <c r="B10" s="1">
        <v>88888888888</v>
      </c>
      <c r="C10" s="3">
        <v>4</v>
      </c>
      <c r="D10" s="4">
        <f>'Dados de Apoio'!B$3-Tabela1[[#This Row],[Ausências no mês ]]</f>
        <v>18</v>
      </c>
      <c r="E10" s="11">
        <f>'Dados de Apoio'!B$2*Tabela1[[#This Row],[Dias Trabalhados]]</f>
        <v>594</v>
      </c>
    </row>
    <row r="11" spans="1:9" x14ac:dyDescent="0.35">
      <c r="A11" t="s">
        <v>5</v>
      </c>
      <c r="B11" s="1">
        <v>55555555555</v>
      </c>
      <c r="C11" s="3">
        <v>0</v>
      </c>
      <c r="D11" s="4">
        <f>'Dados de Apoio'!B$3-Tabela1[[#This Row],[Ausências no mês ]]</f>
        <v>22</v>
      </c>
      <c r="E11" s="11">
        <f>'Dados de Apoio'!B$2*Tabela1[[#This Row],[Dias Trabalhados]]</f>
        <v>726</v>
      </c>
    </row>
    <row r="12" spans="1:9" x14ac:dyDescent="0.35">
      <c r="A12" t="s">
        <v>19</v>
      </c>
      <c r="B12" s="1"/>
      <c r="C12" s="3"/>
      <c r="D12" s="12"/>
      <c r="E12" s="11">
        <f>SUBTOTAL(109,Tabela1[Valor VR])</f>
        <v>6534</v>
      </c>
    </row>
  </sheetData>
  <mergeCells count="1">
    <mergeCell ref="H1:I1"/>
  </mergeCells>
  <pageMargins left="0.511811024" right="0.511811024" top="0.78740157499999996" bottom="0.78740157499999996" header="0.31496062000000002" footer="0.31496062000000002"/>
  <pageSetup paperSize="9" orientation="portrait" verticalDpi="598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A549-58B3-46E2-A2D8-5DDDFB90338C}">
  <dimension ref="A1:B3"/>
  <sheetViews>
    <sheetView zoomScale="150" zoomScaleNormal="150" workbookViewId="0">
      <selection activeCell="B3" sqref="B3"/>
    </sheetView>
  </sheetViews>
  <sheetFormatPr defaultRowHeight="14.5" x14ac:dyDescent="0.35"/>
  <cols>
    <col min="1" max="1" width="14.26953125" customWidth="1"/>
    <col min="2" max="2" width="12.453125" style="3" customWidth="1"/>
  </cols>
  <sheetData>
    <row r="1" spans="1:2" x14ac:dyDescent="0.35">
      <c r="A1" s="6" t="s">
        <v>15</v>
      </c>
      <c r="B1" s="7" t="s">
        <v>16</v>
      </c>
    </row>
    <row r="2" spans="1:2" x14ac:dyDescent="0.35">
      <c r="A2" s="9" t="s">
        <v>17</v>
      </c>
      <c r="B2" s="10">
        <v>33</v>
      </c>
    </row>
    <row r="3" spans="1:2" x14ac:dyDescent="0.35">
      <c r="A3" t="s">
        <v>18</v>
      </c>
      <c r="B3" s="3">
        <v>22</v>
      </c>
    </row>
  </sheetData>
  <pageMargins left="0.511811024" right="0.511811024" top="0.78740157499999996" bottom="0.78740157499999996" header="0.31496062000000002" footer="0.31496062000000002"/>
  <pageSetup paperSize="9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VR</vt:lpstr>
      <vt:lpstr>Dados de 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 Fidelis de Borges</dc:creator>
  <cp:lastModifiedBy>Raissa Fidelis de Borges</cp:lastModifiedBy>
  <dcterms:created xsi:type="dcterms:W3CDTF">2026-04-14T12:13:49Z</dcterms:created>
  <dcterms:modified xsi:type="dcterms:W3CDTF">2026-04-14T14:36:09Z</dcterms:modified>
</cp:coreProperties>
</file>