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slicers/slicer1.xml" ContentType="application/vnd.ms-excel.slicer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ativoscredi-my.sharepoint.com/personal/raissa_borges_ativossa_com_br/Documents/"/>
    </mc:Choice>
  </mc:AlternateContent>
  <xr:revisionPtr revIDLastSave="2" documentId="8_{7D68ED5D-FF87-4455-9CAD-521FE85AFA35}" xr6:coauthVersionLast="47" xr6:coauthVersionMax="47" xr10:uidLastSave="{968B8AA2-CC85-45FC-955A-A750F8F71272}"/>
  <bookViews>
    <workbookView xWindow="28680" yWindow="-1785" windowWidth="29040" windowHeight="15720" xr2:uid="{7E1088B0-FD8B-403F-B399-29BE9BDD36D9}"/>
  </bookViews>
  <sheets>
    <sheet name="Dashboard" sheetId="11" r:id="rId1"/>
    <sheet name="Status" sheetId="1" r:id="rId2"/>
    <sheet name="Colaboradores" sheetId="2" r:id="rId3"/>
    <sheet name="Benefícios" sheetId="3" r:id="rId4"/>
    <sheet name="Tempo" sheetId="4" r:id="rId5"/>
    <sheet name="SOMASE" sheetId="5" r:id="rId6"/>
    <sheet name="Custos mensais" sheetId="6" r:id="rId7"/>
    <sheet name="Tabela dinâmica" sheetId="7" r:id="rId8"/>
    <sheet name="Gráficos" sheetId="8" r:id="rId9"/>
    <sheet name="Segmentação" sheetId="9" r:id="rId10"/>
    <sheet name="Tabela dinamica segmentada" sheetId="10" r:id="rId11"/>
  </sheets>
  <definedNames>
    <definedName name="SegmentaçãodeDados_Departamento">#N/A</definedName>
  </definedNames>
  <calcPr calcId="191029"/>
  <pivotCaches>
    <pivotCache cacheId="37" r:id="rId12"/>
    <pivotCache cacheId="38" r:id="rId13"/>
  </pivotCaches>
  <extLst>
    <ext xmlns:x14="http://schemas.microsoft.com/office/spreadsheetml/2009/9/main" uri="{BBE1A952-AA13-448e-AADC-164F8A28A991}">
      <x14:slicerCaches>
        <x14:slicerCache r:id="rId1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8" l="1"/>
  <c r="B17" i="8"/>
  <c r="B16" i="8"/>
  <c r="G121" i="6"/>
  <c r="G120" i="6"/>
  <c r="G119" i="6"/>
  <c r="G118" i="6"/>
  <c r="G117" i="6"/>
  <c r="G116" i="6"/>
  <c r="G115" i="6"/>
  <c r="G114" i="6"/>
  <c r="G113" i="6"/>
  <c r="G112" i="6"/>
  <c r="G111" i="6"/>
  <c r="G110" i="6"/>
  <c r="G109" i="6"/>
  <c r="G108" i="6"/>
  <c r="G107" i="6"/>
  <c r="G106" i="6"/>
  <c r="G105" i="6"/>
  <c r="G104" i="6"/>
  <c r="G103" i="6"/>
  <c r="G102" i="6"/>
  <c r="G101" i="6"/>
  <c r="G100" i="6"/>
  <c r="G99" i="6"/>
  <c r="G98" i="6"/>
  <c r="G97" i="6"/>
  <c r="G96" i="6"/>
  <c r="G95" i="6"/>
  <c r="G94" i="6"/>
  <c r="G93" i="6"/>
  <c r="G92" i="6"/>
  <c r="G91" i="6"/>
  <c r="G90" i="6"/>
  <c r="G89" i="6"/>
  <c r="G88" i="6"/>
  <c r="G87" i="6"/>
  <c r="G86" i="6"/>
  <c r="G85" i="6"/>
  <c r="G84" i="6"/>
  <c r="G83" i="6"/>
  <c r="G82" i="6"/>
  <c r="G81" i="6"/>
  <c r="G80" i="6"/>
  <c r="G79" i="6"/>
  <c r="G78" i="6"/>
  <c r="G77" i="6"/>
  <c r="G76" i="6"/>
  <c r="G75" i="6"/>
  <c r="G74" i="6"/>
  <c r="G73" i="6"/>
  <c r="G72" i="6"/>
  <c r="G71" i="6"/>
  <c r="G70" i="6"/>
  <c r="G69" i="6"/>
  <c r="G68" i="6"/>
  <c r="G67" i="6"/>
  <c r="G66" i="6"/>
  <c r="G65" i="6"/>
  <c r="G64" i="6"/>
  <c r="G63" i="6"/>
  <c r="G62" i="6"/>
  <c r="G61" i="6"/>
  <c r="G60" i="6"/>
  <c r="G59" i="6"/>
  <c r="G58" i="6"/>
  <c r="G57" i="6"/>
  <c r="G56" i="6"/>
  <c r="G55" i="6"/>
  <c r="G54" i="6"/>
  <c r="G53" i="6"/>
  <c r="G52" i="6"/>
  <c r="G51" i="6"/>
  <c r="G50" i="6"/>
  <c r="G49" i="6"/>
  <c r="G48" i="6"/>
  <c r="G47" i="6"/>
  <c r="G46" i="6"/>
  <c r="G45" i="6"/>
  <c r="G44" i="6"/>
  <c r="G43" i="6"/>
  <c r="G42" i="6"/>
  <c r="G41" i="6"/>
  <c r="G40" i="6"/>
  <c r="G39" i="6"/>
  <c r="G38" i="6"/>
  <c r="G37" i="6"/>
  <c r="G36" i="6"/>
  <c r="G35" i="6"/>
  <c r="G34" i="6"/>
  <c r="G33" i="6"/>
  <c r="G32" i="6"/>
  <c r="G31" i="6"/>
  <c r="G30" i="6"/>
  <c r="G29" i="6"/>
  <c r="G28" i="6"/>
  <c r="G27" i="6"/>
  <c r="G26" i="6"/>
  <c r="G25" i="6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G5" i="6"/>
  <c r="G4" i="6"/>
  <c r="G3" i="6"/>
  <c r="G2" i="6"/>
  <c r="E11" i="5"/>
  <c r="E10" i="5"/>
  <c r="E9" i="5"/>
  <c r="E8" i="5"/>
  <c r="E7" i="5"/>
  <c r="E6" i="5"/>
  <c r="E5" i="5"/>
  <c r="F4" i="5"/>
  <c r="E4" i="5"/>
  <c r="E3" i="5"/>
  <c r="F2" i="5"/>
  <c r="E2" i="5"/>
  <c r="E12" i="5" s="1"/>
  <c r="E11" i="4"/>
  <c r="D11" i="4"/>
  <c r="E10" i="4"/>
  <c r="D10" i="4"/>
  <c r="E9" i="4"/>
  <c r="D9" i="4"/>
  <c r="E8" i="4"/>
  <c r="D8" i="4"/>
  <c r="E7" i="4"/>
  <c r="D7" i="4"/>
  <c r="E6" i="4"/>
  <c r="D6" i="4"/>
  <c r="E5" i="4"/>
  <c r="D5" i="4"/>
  <c r="E4" i="4"/>
  <c r="D4" i="4"/>
  <c r="E3" i="4"/>
  <c r="D3" i="4"/>
  <c r="E2" i="4"/>
  <c r="D2" i="4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<sst xmlns="http://schemas.openxmlformats.org/spreadsheetml/2006/main" count="505" uniqueCount="157">
  <si>
    <t>Pessoa Colaboradora</t>
  </si>
  <si>
    <t>Número de Ausências</t>
  </si>
  <si>
    <t>Desempenho (%)</t>
  </si>
  <si>
    <t>Status</t>
  </si>
  <si>
    <t>João Silva</t>
  </si>
  <si>
    <t>Maria Costa</t>
  </si>
  <si>
    <t>Pedro Santos</t>
  </si>
  <si>
    <t>Ana Lima</t>
  </si>
  <si>
    <t>Carlos Oliveira</t>
  </si>
  <si>
    <t>Juliana Souza</t>
  </si>
  <si>
    <t>Fernanda Almeida</t>
  </si>
  <si>
    <t>Bruno Machado</t>
  </si>
  <si>
    <t>Sofia Pereira</t>
  </si>
  <si>
    <t>Gabriel Mendes</t>
  </si>
  <si>
    <t>Laura Farias</t>
  </si>
  <si>
    <t>Luiz Castro</t>
  </si>
  <si>
    <t>Patrícia Duarte</t>
  </si>
  <si>
    <t>Rodrigo Moraes</t>
  </si>
  <si>
    <t>Clara Martins</t>
  </si>
  <si>
    <t>Renato Barbosa</t>
  </si>
  <si>
    <t>Mariana Lopes</t>
  </si>
  <si>
    <t>André Vasconcelos</t>
  </si>
  <si>
    <t>Isabela Rocha</t>
  </si>
  <si>
    <t>Felipe Ferreira</t>
  </si>
  <si>
    <t>Davi Lucas Moreira</t>
  </si>
  <si>
    <t>Ana Julia da Rosa</t>
  </si>
  <si>
    <t>Letícia da Mota</t>
  </si>
  <si>
    <t>Lucca Peixoto</t>
  </si>
  <si>
    <t>Rebeca Pereira</t>
  </si>
  <si>
    <t>Vicente da Rocha</t>
  </si>
  <si>
    <t>Agatha Cunha</t>
  </si>
  <si>
    <t>João Miguel Lima</t>
  </si>
  <si>
    <t>Sra. Cecília Aragão</t>
  </si>
  <si>
    <t>Ana Laura Cardoso</t>
  </si>
  <si>
    <t>Felipe Novaes</t>
  </si>
  <si>
    <t>Eduarda da Paz</t>
  </si>
  <si>
    <t>Ana Carolina Souza</t>
  </si>
  <si>
    <t>Samuel Lopes</t>
  </si>
  <si>
    <t>Brenda Caldeira</t>
  </si>
  <si>
    <t>Dr. Paulo Duarte</t>
  </si>
  <si>
    <t>Theo Moreira</t>
  </si>
  <si>
    <t>Dr. Antônio Vieira</t>
  </si>
  <si>
    <t>Maria Clara Cardoso</t>
  </si>
  <si>
    <t>Luiz Gustavo Rocha</t>
  </si>
  <si>
    <t>Marcelo Campos</t>
  </si>
  <si>
    <t>Maria Jesus</t>
  </si>
  <si>
    <t>Lorenzo Campos</t>
  </si>
  <si>
    <t>Bryan Castro</t>
  </si>
  <si>
    <t>Isis Moura</t>
  </si>
  <si>
    <t>Henrique Rodrigues</t>
  </si>
  <si>
    <t>Ana Beatriz Nunes</t>
  </si>
  <si>
    <t>João Lucas Souza</t>
  </si>
  <si>
    <t>Enzo Monteiro</t>
  </si>
  <si>
    <t>Carolina Gonçalves</t>
  </si>
  <si>
    <t>Agatha Oliveira</t>
  </si>
  <si>
    <t>Sra. Giovanna Nascimento</t>
  </si>
  <si>
    <t>Anthony Nascimento</t>
  </si>
  <si>
    <t>Igor Silveira</t>
  </si>
  <si>
    <t>Davi Lucas da Conceição</t>
  </si>
  <si>
    <t>Vitória da Costa</t>
  </si>
  <si>
    <t>Sra. Marcela Alves</t>
  </si>
  <si>
    <t>Caio Porto</t>
  </si>
  <si>
    <t>Marcela Pereira</t>
  </si>
  <si>
    <t>João Felipe Cardoso</t>
  </si>
  <si>
    <t>Alice da Paz</t>
  </si>
  <si>
    <t>Rafael Araújo</t>
  </si>
  <si>
    <t>Alícia Pereira</t>
  </si>
  <si>
    <t>Antônio Barros</t>
  </si>
  <si>
    <t>Vinicius Nogueira</t>
  </si>
  <si>
    <t>Vinicius Carvalho</t>
  </si>
  <si>
    <t>Nina Nascimento</t>
  </si>
  <si>
    <t>Pietro da Paz</t>
  </si>
  <si>
    <t>Agatha Nascimento</t>
  </si>
  <si>
    <t>Nome</t>
  </si>
  <si>
    <t>Cargo</t>
  </si>
  <si>
    <t>Benefício(PROCV)</t>
  </si>
  <si>
    <t>Analista</t>
  </si>
  <si>
    <t>Coordenador</t>
  </si>
  <si>
    <t>Gerente</t>
  </si>
  <si>
    <t>Assistente</t>
  </si>
  <si>
    <t>Benefício</t>
  </si>
  <si>
    <t>Plano de Saúde</t>
  </si>
  <si>
    <t>Vale Refeição</t>
  </si>
  <si>
    <t>Bônus Anual</t>
  </si>
  <si>
    <t>Seguro de Vida</t>
  </si>
  <si>
    <t>Data de Admissão</t>
  </si>
  <si>
    <t>Data de Nascimento</t>
  </si>
  <si>
    <t>Tempo de serviço</t>
  </si>
  <si>
    <t>Idade Atual</t>
  </si>
  <si>
    <t>2015-03-01</t>
  </si>
  <si>
    <t>1985-04-12</t>
  </si>
  <si>
    <t>2018-07-15</t>
  </si>
  <si>
    <t>1990-06-20</t>
  </si>
  <si>
    <t>2020-01-10</t>
  </si>
  <si>
    <t>1982-03-05</t>
  </si>
  <si>
    <t>2012-05-20</t>
  </si>
  <si>
    <t>1995-12-11</t>
  </si>
  <si>
    <t>2019-11-05</t>
  </si>
  <si>
    <t>1988-07-23</t>
  </si>
  <si>
    <t>2016-08-30</t>
  </si>
  <si>
    <t>1993-01-18</t>
  </si>
  <si>
    <t>2014-12-01</t>
  </si>
  <si>
    <t>1980-10-09</t>
  </si>
  <si>
    <t>2017-06-10</t>
  </si>
  <si>
    <t>1987-09-25</t>
  </si>
  <si>
    <t>2021-04-15</t>
  </si>
  <si>
    <t>1996-02-14</t>
  </si>
  <si>
    <t>2013-09-01</t>
  </si>
  <si>
    <t>1984-11-03</t>
  </si>
  <si>
    <t>Dias Trabalhados</t>
  </si>
  <si>
    <t>Benefício Diário</t>
  </si>
  <si>
    <t>Benefício Total (Fórmula)</t>
  </si>
  <si>
    <t>Custo Condicional</t>
  </si>
  <si>
    <t>Soma do Produto</t>
  </si>
  <si>
    <t>Competência</t>
  </si>
  <si>
    <t>Absenteísmo (%)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</si>
  <si>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</si>
  <si>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</si>
  <si>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</si>
  <si>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</si>
  <si>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</si>
  <si>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</si>
  <si>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</si>
  <si>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</si>
  <si>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</si>
  <si>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</si>
  <si>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</si>
  <si>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</si>
  <si>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(Vários itens)</t>
  </si>
  <si>
    <t>Soma de Benefício Total (Fórmula)</t>
  </si>
  <si>
    <t>Rótulos de Coluna</t>
  </si>
  <si>
    <t>Rótulos de Linha</t>
  </si>
  <si>
    <t>Total Geral</t>
  </si>
  <si>
    <t>Turnover (%)</t>
  </si>
  <si>
    <t>Custo por Colaborador (R$)</t>
  </si>
  <si>
    <t>Departamento</t>
  </si>
  <si>
    <t>Financeiro</t>
  </si>
  <si>
    <t>Recursos Humanos</t>
  </si>
  <si>
    <t>Marketing</t>
  </si>
  <si>
    <t>Operações</t>
  </si>
  <si>
    <t>TI</t>
  </si>
  <si>
    <t>Vendas</t>
  </si>
  <si>
    <t>Ausências</t>
  </si>
  <si>
    <t>Média Turnover</t>
  </si>
  <si>
    <t>Média Absenteísmo</t>
  </si>
  <si>
    <t>Média Desempenho</t>
  </si>
  <si>
    <t>Soma de Turnover (%)</t>
  </si>
  <si>
    <t>Soma de Absenteísmo (%)</t>
  </si>
  <si>
    <t>Soma de Custo por Colaborador (R$)</t>
  </si>
  <si>
    <t>(Tudo)</t>
  </si>
  <si>
    <t>Dashboard RH - Meteora</t>
  </si>
  <si>
    <t>Turnover</t>
  </si>
  <si>
    <t>Absenteísmo</t>
  </si>
  <si>
    <t>Desempenho</t>
  </si>
  <si>
    <t>Turnover &amp; Abstenísmo</t>
  </si>
  <si>
    <t>Desempenho vs Ausências</t>
  </si>
  <si>
    <t xml:space="preserve">Custo por Colaborador em função do Tempo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</si>
</sst>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Georgia"/>
      <family val="1"/>
    </font>
    <font>
      <sz val="24"/>
      <color theme="0"/>
      <name val="Georgia Pro Semibold"/>
      <family val="1"/>
    </font>
    <font>
      <sz val="18"/>
      <color theme="6" tint="-0.499984740745262"/>
      <name val="Georgia Pro Semibold"/>
      <family val="1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theme="2"/>
      </top>
      <bottom/>
      <diagonal/>
    </border>
    <border>
      <left style="hair">
        <color theme="2"/>
      </left>
      <right/>
      <top style="hair">
        <color theme="2"/>
      </top>
      <bottom/>
      <diagonal/>
    </border>
    <border>
      <left/>
      <right/>
      <top style="hair">
        <color theme="2"/>
      </top>
      <bottom/>
      <diagonal/>
    </border>
    <border>
      <left style="hair">
        <color theme="2"/>
      </left>
      <right/>
      <top/>
      <bottom/>
      <diagonal/>
    </border>
    <border>
      <left style="hair">
        <color theme="2"/>
      </left>
      <right/>
      <top/>
      <bottom style="hair">
        <color theme="2"/>
      </bottom>
      <diagonal/>
    </border>
    <border>
      <left/>
      <right/>
      <top/>
      <bottom style="hair">
        <color theme="2"/>
      </bottom>
      <diagonal/>
    </border>
    <border>
      <left/>
      <right style="thin">
        <color theme="2"/>
      </right>
      <top style="hair">
        <color theme="2"/>
      </top>
      <bottom/>
      <diagonal/>
    </border>
    <border>
      <left/>
      <right style="thin">
        <color theme="2"/>
      </right>
      <top/>
      <bottom/>
      <diagonal/>
    </border>
    <border>
      <left style="thin">
        <color theme="2"/>
      </left>
      <right/>
      <top style="hair">
        <color theme="2"/>
      </top>
      <bottom style="thin">
        <color theme="2"/>
      </bottom>
      <diagonal/>
    </border>
    <border>
      <left/>
      <right/>
      <top style="hair">
        <color theme="2"/>
      </top>
      <bottom style="hair">
        <color theme="2"/>
      </bottom>
      <diagonal/>
    </border>
    <border>
      <left style="thin">
        <color theme="8" tint="-0.249977111117893"/>
      </left>
      <right/>
      <top style="thin">
        <color theme="8" tint="-0.249977111117893"/>
      </top>
      <bottom/>
      <diagonal/>
    </border>
    <border>
      <left/>
      <right/>
      <top style="thin">
        <color theme="8" tint="-0.249977111117893"/>
      </top>
      <bottom/>
      <diagonal/>
    </border>
    <border>
      <left/>
      <right style="thin">
        <color theme="8" tint="-0.249977111117893"/>
      </right>
      <top style="thin">
        <color theme="8" tint="-0.249977111117893"/>
      </top>
      <bottom/>
      <diagonal/>
    </border>
    <border>
      <left style="thin">
        <color theme="8" tint="-0.249977111117893"/>
      </left>
      <right/>
      <top/>
      <bottom style="thin">
        <color theme="8" tint="-0.249977111117893"/>
      </bottom>
      <diagonal/>
    </border>
    <border>
      <left/>
      <right/>
      <top/>
      <bottom style="thin">
        <color theme="8" tint="-0.249977111117893"/>
      </bottom>
      <diagonal/>
    </border>
    <border>
      <left/>
      <right style="thin">
        <color theme="8" tint="-0.249977111117893"/>
      </right>
      <top/>
      <bottom style="thin">
        <color theme="8" tint="-0.249977111117893"/>
      </bottom>
      <diagonal/>
    </border>
    <border>
      <left style="thin">
        <color theme="8" tint="-0.249977111117893"/>
      </left>
      <right/>
      <top style="thin">
        <color theme="8" tint="-0.249977111117893"/>
      </top>
      <bottom style="thin">
        <color theme="8" tint="-0.249977111117893"/>
      </bottom>
      <diagonal/>
    </border>
    <border>
      <left/>
      <right/>
      <top style="thin">
        <color theme="8" tint="-0.249977111117893"/>
      </top>
      <bottom style="thin">
        <color theme="8" tint="-0.249977111117893"/>
      </bottom>
      <diagonal/>
    </border>
    <border>
      <left/>
      <right style="thin">
        <color theme="8" tint="-0.249977111117893"/>
      </right>
      <top style="thin">
        <color theme="8" tint="-0.249977111117893"/>
      </top>
      <bottom style="thin">
        <color theme="8" tint="-0.249977111117893"/>
      </bottom>
      <diagonal/>
    </border>
    <border>
      <left style="thin">
        <color theme="8" tint="-0.249977111117893"/>
      </left>
      <right/>
      <top/>
      <bottom/>
      <diagonal/>
    </border>
    <border>
      <left/>
      <right style="thin">
        <color theme="8" tint="-0.249977111117893"/>
      </right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0" xfId="0" applyFont="1" applyFill="1" applyAlignment="1">
      <alignment horizontal="center" vertical="top"/>
    </xf>
    <xf numFmtId="0" fontId="1" fillId="2" borderId="0" xfId="0" applyFont="1" applyFill="1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4" fontId="0" fillId="0" borderId="0" xfId="0" applyNumberFormat="1"/>
    <xf numFmtId="0" fontId="0" fillId="0" borderId="0" xfId="0" applyAlignment="1">
      <alignment horizontal="left"/>
    </xf>
    <xf numFmtId="0" fontId="0" fillId="0" borderId="0" xfId="0" pivotButton="1"/>
    <xf numFmtId="0" fontId="1" fillId="0" borderId="2" xfId="0" applyFont="1" applyBorder="1"/>
    <xf numFmtId="0" fontId="0" fillId="0" borderId="3" xfId="0" applyBorder="1"/>
    <xf numFmtId="0" fontId="1" fillId="0" borderId="4" xfId="0" applyFont="1" applyBorder="1"/>
    <xf numFmtId="0" fontId="0" fillId="0" borderId="5" xfId="0" applyBorder="1"/>
    <xf numFmtId="0" fontId="1" fillId="0" borderId="6" xfId="0" applyFont="1" applyBorder="1"/>
    <xf numFmtId="0" fontId="0" fillId="0" borderId="7" xfId="0" applyBorder="1"/>
    <xf numFmtId="0" fontId="0" fillId="0" borderId="0" xfId="0" applyNumberFormat="1"/>
    <xf numFmtId="0" fontId="0" fillId="0" borderId="0" xfId="0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8" xfId="0" applyBorder="1"/>
    <xf numFmtId="0" fontId="0" fillId="0" borderId="0" xfId="0" applyBorder="1"/>
    <xf numFmtId="0" fontId="0" fillId="0" borderId="16" xfId="0" applyBorder="1"/>
    <xf numFmtId="0" fontId="0" fillId="0" borderId="17" xfId="0" applyBorder="1"/>
    <xf numFmtId="0" fontId="0" fillId="0" borderId="0" xfId="0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3" borderId="24" xfId="0" applyFont="1" applyFill="1" applyBorder="1" applyAlignment="1">
      <alignment horizontal="center" vertical="center"/>
    </xf>
    <xf numFmtId="0" fontId="2" fillId="3" borderId="25" xfId="0" applyFont="1" applyFill="1" applyBorder="1" applyAlignment="1">
      <alignment horizontal="center" vertical="center"/>
    </xf>
    <xf numFmtId="0" fontId="2" fillId="3" borderId="26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  <xf numFmtId="0" fontId="3" fillId="5" borderId="14" xfId="0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3" fillId="5" borderId="0" xfId="0" applyFont="1" applyFill="1" applyBorder="1" applyAlignment="1">
      <alignment horizontal="center" vertical="center"/>
    </xf>
    <xf numFmtId="0" fontId="3" fillId="5" borderId="15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07/relationships/slicerCache" Target="slicerCaches/slicerCach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Turnover (%)</c:v>
          </c:tx>
          <c:spPr>
            <a:solidFill>
              <a:schemeClr val="accent2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Janeiro</c:v>
              </c:pt>
              <c:pt idx="1">
                <c:v>Fevereiro</c:v>
              </c:pt>
              <c:pt idx="2">
                <c:v>Março</c:v>
              </c:pt>
              <c:pt idx="3">
                <c:v>Abril</c:v>
              </c:pt>
              <c:pt idx="4">
                <c:v>Maio</c:v>
              </c:pt>
              <c:pt idx="5">
                <c:v>Junho</c:v>
              </c:pt>
              <c:pt idx="6">
                <c:v>Julho</c:v>
              </c:pt>
              <c:pt idx="7">
                <c:v>Agosto</c:v>
              </c:pt>
              <c:pt idx="8">
                <c:v>Setembro</c:v>
              </c:pt>
              <c:pt idx="9">
                <c:v>Outubro</c:v>
              </c:pt>
              <c:pt idx="10">
                <c:v>Novembro</c:v>
              </c:pt>
              <c:pt idx="11">
                <c:v>Dezembro</c:v>
              </c:pt>
            </c:strLit>
          </c:cat>
          <c:val>
            <c:numLit>
              <c:formatCode>General</c:formatCode>
              <c:ptCount val="12"/>
              <c:pt idx="0">
                <c:v>6.75</c:v>
              </c:pt>
              <c:pt idx="1">
                <c:v>8.59</c:v>
              </c:pt>
              <c:pt idx="2">
                <c:v>6.33</c:v>
              </c:pt>
              <c:pt idx="3">
                <c:v>2.6</c:v>
              </c:pt>
              <c:pt idx="4">
                <c:v>9.59</c:v>
              </c:pt>
              <c:pt idx="5">
                <c:v>5.61</c:v>
              </c:pt>
              <c:pt idx="6">
                <c:v>7.44</c:v>
              </c:pt>
              <c:pt idx="7">
                <c:v>3.86</c:v>
              </c:pt>
              <c:pt idx="8">
                <c:v>6.39</c:v>
              </c:pt>
              <c:pt idx="9">
                <c:v>7.45</c:v>
              </c:pt>
              <c:pt idx="10">
                <c:v>5.85</c:v>
              </c:pt>
              <c:pt idx="11">
                <c:v>6.72</c:v>
              </c:pt>
            </c:numLit>
          </c:val>
          <c:extLst>
            <c:ext xmlns:c16="http://schemas.microsoft.com/office/drawing/2014/chart" uri="{C3380CC4-5D6E-409C-BE32-E72D297353CC}">
              <c16:uniqueId val="{00000000-4406-469E-9AE6-0D2D2160BD13}"/>
            </c:ext>
          </c:extLst>
        </c:ser>
        <c:ser>
          <c:idx val="1"/>
          <c:order val="1"/>
          <c:tx>
            <c:v>Absenteísmo (%)</c:v>
          </c:tx>
          <c:spPr>
            <a:solidFill>
              <a:schemeClr val="accent2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Janeiro</c:v>
              </c:pt>
              <c:pt idx="1">
                <c:v>Fevereiro</c:v>
              </c:pt>
              <c:pt idx="2">
                <c:v>Março</c:v>
              </c:pt>
              <c:pt idx="3">
                <c:v>Abril</c:v>
              </c:pt>
              <c:pt idx="4">
                <c:v>Maio</c:v>
              </c:pt>
              <c:pt idx="5">
                <c:v>Junho</c:v>
              </c:pt>
              <c:pt idx="6">
                <c:v>Julho</c:v>
              </c:pt>
              <c:pt idx="7">
                <c:v>Agosto</c:v>
              </c:pt>
              <c:pt idx="8">
                <c:v>Setembro</c:v>
              </c:pt>
              <c:pt idx="9">
                <c:v>Outubro</c:v>
              </c:pt>
              <c:pt idx="10">
                <c:v>Novembro</c:v>
              </c:pt>
              <c:pt idx="11">
                <c:v>Dezembro</c:v>
              </c:pt>
            </c:strLit>
          </c:cat>
          <c:val>
            <c:numLit>
              <c:formatCode>General</c:formatCode>
              <c:ptCount val="12"/>
              <c:pt idx="0">
                <c:v>4.58</c:v>
              </c:pt>
              <c:pt idx="1">
                <c:v>4</c:v>
              </c:pt>
              <c:pt idx="2">
                <c:v>3.94</c:v>
              </c:pt>
              <c:pt idx="3">
                <c:v>4.13</c:v>
              </c:pt>
              <c:pt idx="4">
                <c:v>4.53</c:v>
              </c:pt>
              <c:pt idx="5">
                <c:v>6.73</c:v>
              </c:pt>
              <c:pt idx="6">
                <c:v>3.32</c:v>
              </c:pt>
              <c:pt idx="7">
                <c:v>5.96</c:v>
              </c:pt>
              <c:pt idx="8">
                <c:v>6.51</c:v>
              </c:pt>
              <c:pt idx="9">
                <c:v>6.94</c:v>
              </c:pt>
              <c:pt idx="10">
                <c:v>6.36</c:v>
              </c:pt>
              <c:pt idx="11">
                <c:v>7.21</c:v>
              </c:pt>
            </c:numLit>
          </c:val>
          <c:extLst>
            <c:ext xmlns:c16="http://schemas.microsoft.com/office/drawing/2014/chart" uri="{C3380CC4-5D6E-409C-BE32-E72D297353CC}">
              <c16:uniqueId val="{00000001-4406-469E-9AE6-0D2D2160BD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9028431"/>
        <c:axId val="77474831"/>
      </c:barChart>
      <c:catAx>
        <c:axId val="69028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7474831"/>
        <c:crosses val="autoZero"/>
        <c:auto val="1"/>
        <c:lblAlgn val="ctr"/>
        <c:lblOffset val="100"/>
        <c:noMultiLvlLbl val="0"/>
      </c:catAx>
      <c:valAx>
        <c:axId val="77474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9028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layout>
        <c:manualLayout>
          <c:xMode val="edge"/>
          <c:yMode val="edge"/>
          <c:x val="0.34918044619422572"/>
          <c:y val="2.3164234422052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Desempenho (%)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Lit>
              <c:formatCode>General</c:formatCode>
              <c:ptCount val="12"/>
              <c:pt idx="0">
                <c:v>8</c:v>
              </c:pt>
              <c:pt idx="1">
                <c:v>0</c:v>
              </c:pt>
              <c:pt idx="2">
                <c:v>4</c:v>
              </c:pt>
              <c:pt idx="3">
                <c:v>10</c:v>
              </c:pt>
              <c:pt idx="4">
                <c:v>6</c:v>
              </c:pt>
              <c:pt idx="5">
                <c:v>8</c:v>
              </c:pt>
              <c:pt idx="6">
                <c:v>12</c:v>
              </c:pt>
              <c:pt idx="7">
                <c:v>0</c:v>
              </c:pt>
              <c:pt idx="8">
                <c:v>14</c:v>
              </c:pt>
              <c:pt idx="9">
                <c:v>12</c:v>
              </c:pt>
              <c:pt idx="10">
                <c:v>5</c:v>
              </c:pt>
              <c:pt idx="11">
                <c:v>4</c:v>
              </c:pt>
            </c:numLit>
          </c:xVal>
          <c:yVal>
            <c:numLit>
              <c:formatCode>General</c:formatCode>
              <c:ptCount val="12"/>
              <c:pt idx="0">
                <c:v>85</c:v>
              </c:pt>
              <c:pt idx="1">
                <c:v>78</c:v>
              </c:pt>
              <c:pt idx="2">
                <c:v>92</c:v>
              </c:pt>
              <c:pt idx="3">
                <c:v>88</c:v>
              </c:pt>
              <c:pt idx="4">
                <c:v>80</c:v>
              </c:pt>
              <c:pt idx="5">
                <c:v>95</c:v>
              </c:pt>
              <c:pt idx="6">
                <c:v>70</c:v>
              </c:pt>
              <c:pt idx="7">
                <c:v>90</c:v>
              </c:pt>
              <c:pt idx="8">
                <c:v>87</c:v>
              </c:pt>
              <c:pt idx="9">
                <c:v>75</c:v>
              </c:pt>
              <c:pt idx="10">
                <c:v>85</c:v>
              </c:pt>
              <c:pt idx="11">
                <c:v>88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D336-4BFF-A5D2-1B43ABD7C1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609839"/>
        <c:axId val="68607439"/>
      </c:scatterChart>
      <c:valAx>
        <c:axId val="68609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8607439"/>
        <c:crosses val="autoZero"/>
        <c:crossBetween val="midCat"/>
      </c:valAx>
      <c:valAx>
        <c:axId val="68607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86098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Custo por Colaborador (R$)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Lit>
              <c:ptCount val="12"/>
              <c:pt idx="0">
                <c:v>Janeiro</c:v>
              </c:pt>
              <c:pt idx="1">
                <c:v>Fevereiro</c:v>
              </c:pt>
              <c:pt idx="2">
                <c:v>Março</c:v>
              </c:pt>
              <c:pt idx="3">
                <c:v>Abril</c:v>
              </c:pt>
              <c:pt idx="4">
                <c:v>Maio</c:v>
              </c:pt>
              <c:pt idx="5">
                <c:v>Junho</c:v>
              </c:pt>
              <c:pt idx="6">
                <c:v>Julho</c:v>
              </c:pt>
              <c:pt idx="7">
                <c:v>Agosto</c:v>
              </c:pt>
              <c:pt idx="8">
                <c:v>Setembro</c:v>
              </c:pt>
              <c:pt idx="9">
                <c:v>Outubro</c:v>
              </c:pt>
              <c:pt idx="10">
                <c:v>Novembro</c:v>
              </c:pt>
              <c:pt idx="11">
                <c:v>Dezembro</c:v>
              </c:pt>
            </c:strLit>
          </c:cat>
          <c:val>
            <c:numLit>
              <c:formatCode>General</c:formatCode>
              <c:ptCount val="12"/>
              <c:pt idx="0">
                <c:v>1417.05</c:v>
              </c:pt>
              <c:pt idx="1">
                <c:v>1357.92</c:v>
              </c:pt>
              <c:pt idx="2">
                <c:v>2720.3</c:v>
              </c:pt>
              <c:pt idx="3">
                <c:v>1360.28</c:v>
              </c:pt>
              <c:pt idx="4">
                <c:v>2681.12</c:v>
              </c:pt>
              <c:pt idx="5">
                <c:v>1696.29</c:v>
              </c:pt>
              <c:pt idx="6">
                <c:v>1759.57</c:v>
              </c:pt>
              <c:pt idx="7">
                <c:v>1476.85</c:v>
              </c:pt>
              <c:pt idx="8">
                <c:v>2660.86</c:v>
              </c:pt>
              <c:pt idx="9">
                <c:v>1648.34</c:v>
              </c:pt>
              <c:pt idx="10">
                <c:v>1539.14</c:v>
              </c:pt>
              <c:pt idx="11">
                <c:v>2091.35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96EC-45DF-B97C-B475D4B20E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354672"/>
        <c:axId val="1047351312"/>
      </c:lineChart>
      <c:catAx>
        <c:axId val="1047354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47351312"/>
        <c:crosses val="autoZero"/>
        <c:auto val="1"/>
        <c:lblAlgn val="ctr"/>
        <c:lblOffset val="100"/>
        <c:noMultiLvlLbl val="0"/>
      </c:catAx>
      <c:valAx>
        <c:axId val="104735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47354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Março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Ana Lima</c:v>
              </c:pt>
              <c:pt idx="1">
                <c:v>Carlos Oliveira</c:v>
              </c:pt>
              <c:pt idx="2">
                <c:v>João Silva</c:v>
              </c:pt>
            </c:strLit>
          </c:cat>
          <c:val>
            <c:numLit>
              <c:formatCode>General</c:formatCode>
              <c:ptCount val="3"/>
              <c:pt idx="0">
                <c:v>1080</c:v>
              </c:pt>
              <c:pt idx="1">
                <c:v>1080</c:v>
              </c:pt>
              <c:pt idx="2">
                <c:v>1080</c:v>
              </c:pt>
            </c:numLit>
          </c:val>
          <c:extLst>
            <c:ext xmlns:c16="http://schemas.microsoft.com/office/drawing/2014/chart" uri="{C3380CC4-5D6E-409C-BE32-E72D297353CC}">
              <c16:uniqueId val="{00000000-725F-4CC8-8AFB-FA68F84B6180}"/>
            </c:ext>
          </c:extLst>
        </c:ser>
        <c:ser>
          <c:idx val="1"/>
          <c:order val="1"/>
          <c:tx>
            <c:v>Junho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Ana Lima</c:v>
              </c:pt>
              <c:pt idx="1">
                <c:v>Carlos Oliveira</c:v>
              </c:pt>
              <c:pt idx="2">
                <c:v>João Silva</c:v>
              </c:pt>
            </c:strLit>
          </c:cat>
          <c:val>
            <c:numLit>
              <c:formatCode>General</c:formatCode>
              <c:ptCount val="3"/>
              <c:pt idx="0">
                <c:v>1235</c:v>
              </c:pt>
              <c:pt idx="1">
                <c:v>1235</c:v>
              </c:pt>
              <c:pt idx="2">
                <c:v>1235</c:v>
              </c:pt>
            </c:numLit>
          </c:val>
          <c:extLst>
            <c:ext xmlns:c16="http://schemas.microsoft.com/office/drawing/2014/chart" uri="{C3380CC4-5D6E-409C-BE32-E72D297353CC}">
              <c16:uniqueId val="{00000001-725F-4CC8-8AFB-FA68F84B6180}"/>
            </c:ext>
          </c:extLst>
        </c:ser>
        <c:ser>
          <c:idx val="2"/>
          <c:order val="2"/>
          <c:tx>
            <c:v>Agosto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Ana Lima</c:v>
              </c:pt>
              <c:pt idx="1">
                <c:v>Carlos Oliveira</c:v>
              </c:pt>
              <c:pt idx="2">
                <c:v>João Silva</c:v>
              </c:pt>
            </c:strLit>
          </c:cat>
          <c:val>
            <c:numLit>
              <c:formatCode>General</c:formatCode>
              <c:ptCount val="3"/>
              <c:pt idx="0">
                <c:v>1440</c:v>
              </c:pt>
              <c:pt idx="1">
                <c:v>1440</c:v>
              </c:pt>
              <c:pt idx="2">
                <c:v>1440</c:v>
              </c:pt>
            </c:numLit>
          </c:val>
          <c:extLst>
            <c:ext xmlns:c16="http://schemas.microsoft.com/office/drawing/2014/chart" uri="{C3380CC4-5D6E-409C-BE32-E72D297353CC}">
              <c16:uniqueId val="{00000002-725F-4CC8-8AFB-FA68F84B61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0969760"/>
        <c:axId val="710969280"/>
      </c:barChart>
      <c:catAx>
        <c:axId val="71096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10969280"/>
        <c:crosses val="autoZero"/>
        <c:auto val="1"/>
        <c:lblAlgn val="ctr"/>
        <c:lblOffset val="100"/>
        <c:noMultiLvlLbl val="0"/>
      </c:catAx>
      <c:valAx>
        <c:axId val="7109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10969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Turnover (%)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Janeiro</c:v>
              </c:pt>
              <c:pt idx="1">
                <c:v>Fevereiro</c:v>
              </c:pt>
              <c:pt idx="2">
                <c:v>Março</c:v>
              </c:pt>
              <c:pt idx="3">
                <c:v>Abril</c:v>
              </c:pt>
              <c:pt idx="4">
                <c:v>Maio</c:v>
              </c:pt>
              <c:pt idx="5">
                <c:v>Junho</c:v>
              </c:pt>
              <c:pt idx="6">
                <c:v>Julho</c:v>
              </c:pt>
              <c:pt idx="7">
                <c:v>Agosto</c:v>
              </c:pt>
              <c:pt idx="8">
                <c:v>Setembro</c:v>
              </c:pt>
              <c:pt idx="9">
                <c:v>Outubro</c:v>
              </c:pt>
              <c:pt idx="10">
                <c:v>Novembro</c:v>
              </c:pt>
              <c:pt idx="11">
                <c:v>Dezembro</c:v>
              </c:pt>
            </c:strLit>
          </c:cat>
          <c:val>
            <c:numLit>
              <c:formatCode>General</c:formatCode>
              <c:ptCount val="12"/>
              <c:pt idx="0">
                <c:v>6.75</c:v>
              </c:pt>
              <c:pt idx="1">
                <c:v>8.59</c:v>
              </c:pt>
              <c:pt idx="2">
                <c:v>6.33</c:v>
              </c:pt>
              <c:pt idx="3">
                <c:v>2.6</c:v>
              </c:pt>
              <c:pt idx="4">
                <c:v>9.59</c:v>
              </c:pt>
              <c:pt idx="5">
                <c:v>5.61</c:v>
              </c:pt>
              <c:pt idx="6">
                <c:v>7.44</c:v>
              </c:pt>
              <c:pt idx="7">
                <c:v>3.86</c:v>
              </c:pt>
              <c:pt idx="8">
                <c:v>6.39</c:v>
              </c:pt>
              <c:pt idx="9">
                <c:v>7.45</c:v>
              </c:pt>
              <c:pt idx="10">
                <c:v>5.85</c:v>
              </c:pt>
              <c:pt idx="11">
                <c:v>6.72</c:v>
              </c:pt>
            </c:numLit>
          </c:val>
          <c:extLst>
            <c:ext xmlns:c16="http://schemas.microsoft.com/office/drawing/2014/chart" uri="{C3380CC4-5D6E-409C-BE32-E72D297353CC}">
              <c16:uniqueId val="{00000000-E230-47E3-B459-0409B6225C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1080448"/>
        <c:axId val="1061079488"/>
      </c:barChart>
      <c:catAx>
        <c:axId val="1061080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61079488"/>
        <c:crosses val="autoZero"/>
        <c:auto val="1"/>
        <c:lblAlgn val="ctr"/>
        <c:lblOffset val="100"/>
        <c:noMultiLvlLbl val="0"/>
      </c:catAx>
      <c:valAx>
        <c:axId val="106107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61080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ao longo dos meses(%)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3523371241450092"/>
          <c:y val="8.0065090457473287E-2"/>
          <c:w val="0.55566782508932544"/>
          <c:h val="0.74715511719187755"/>
        </c:manualLayout>
      </c:layout>
      <c:pieChart>
        <c:varyColors val="1"/>
        <c:ser>
          <c:idx val="0"/>
          <c:order val="0"/>
          <c:tx>
            <c:v>Absenteísmo (%)</c:v>
          </c:tx>
          <c:dPt>
            <c:idx val="0"/>
            <c:bubble3D val="0"/>
            <c:spPr>
              <a:solidFill>
                <a:schemeClr val="accent6">
                  <a:tint val="41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D16-4EB7-8D6C-B5BDE544ED0A}"/>
              </c:ext>
            </c:extLst>
          </c:dPt>
          <c:dPt>
            <c:idx val="1"/>
            <c:bubble3D val="0"/>
            <c:spPr>
              <a:solidFill>
                <a:schemeClr val="accent6">
                  <a:tint val="52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D16-4EB7-8D6C-B5BDE544ED0A}"/>
              </c:ext>
            </c:extLst>
          </c:dPt>
          <c:dPt>
            <c:idx val="2"/>
            <c:bubble3D val="0"/>
            <c:spPr>
              <a:solidFill>
                <a:schemeClr val="accent6">
                  <a:tint val="63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D16-4EB7-8D6C-B5BDE544ED0A}"/>
              </c:ext>
            </c:extLst>
          </c:dPt>
          <c:dPt>
            <c:idx val="3"/>
            <c:bubble3D val="0"/>
            <c:spPr>
              <a:solidFill>
                <a:schemeClr val="accent6">
                  <a:tint val="74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D16-4EB7-8D6C-B5BDE544ED0A}"/>
              </c:ext>
            </c:extLst>
          </c:dPt>
          <c:dPt>
            <c:idx val="4"/>
            <c:bubble3D val="0"/>
            <c:spPr>
              <a:solidFill>
                <a:schemeClr val="accent6">
                  <a:tint val="84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D16-4EB7-8D6C-B5BDE544ED0A}"/>
              </c:ext>
            </c:extLst>
          </c:dPt>
          <c:dPt>
            <c:idx val="5"/>
            <c:bubble3D val="0"/>
            <c:spPr>
              <a:solidFill>
                <a:schemeClr val="accent6">
                  <a:tint val="9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1D16-4EB7-8D6C-B5BDE544ED0A}"/>
              </c:ext>
            </c:extLst>
          </c:dPt>
          <c:dPt>
            <c:idx val="6"/>
            <c:bubble3D val="0"/>
            <c:spPr>
              <a:solidFill>
                <a:schemeClr val="accent6">
                  <a:shade val="94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1D16-4EB7-8D6C-B5BDE544ED0A}"/>
              </c:ext>
            </c:extLst>
          </c:dPt>
          <c:dPt>
            <c:idx val="7"/>
            <c:bubble3D val="0"/>
            <c:spPr>
              <a:solidFill>
                <a:schemeClr val="accent6">
                  <a:shade val="83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1D16-4EB7-8D6C-B5BDE544ED0A}"/>
              </c:ext>
            </c:extLst>
          </c:dPt>
          <c:dPt>
            <c:idx val="8"/>
            <c:bubble3D val="0"/>
            <c:spPr>
              <a:solidFill>
                <a:schemeClr val="accent6">
                  <a:shade val="73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1D16-4EB7-8D6C-B5BDE544ED0A}"/>
              </c:ext>
            </c:extLst>
          </c:dPt>
          <c:dPt>
            <c:idx val="9"/>
            <c:bubble3D val="0"/>
            <c:spPr>
              <a:solidFill>
                <a:schemeClr val="accent6">
                  <a:shade val="62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1D16-4EB7-8D6C-B5BDE544ED0A}"/>
              </c:ext>
            </c:extLst>
          </c:dPt>
          <c:dPt>
            <c:idx val="10"/>
            <c:bubble3D val="0"/>
            <c:spPr>
              <a:solidFill>
                <a:schemeClr val="accent6">
                  <a:shade val="51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1D16-4EB7-8D6C-B5BDE544ED0A}"/>
              </c:ext>
            </c:extLst>
          </c:dPt>
          <c:dPt>
            <c:idx val="11"/>
            <c:bubble3D val="0"/>
            <c:spPr>
              <a:solidFill>
                <a:schemeClr val="accent6">
                  <a:shade val="4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1D16-4EB7-8D6C-B5BDE544ED0A}"/>
              </c:ext>
            </c:extLst>
          </c:dPt>
          <c:dLbls>
            <c:spPr>
              <a:noFill/>
              <a:ln>
                <a:solidFill>
                  <a:schemeClr val="accent1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12"/>
              <c:pt idx="0">
                <c:v>Janeiro</c:v>
              </c:pt>
              <c:pt idx="1">
                <c:v>Fevereiro</c:v>
              </c:pt>
              <c:pt idx="2">
                <c:v>Março</c:v>
              </c:pt>
              <c:pt idx="3">
                <c:v>Abril</c:v>
              </c:pt>
              <c:pt idx="4">
                <c:v>Maio</c:v>
              </c:pt>
              <c:pt idx="5">
                <c:v>Junho</c:v>
              </c:pt>
              <c:pt idx="6">
                <c:v>Julho</c:v>
              </c:pt>
              <c:pt idx="7">
                <c:v>Agosto</c:v>
              </c:pt>
              <c:pt idx="8">
                <c:v>Setembro</c:v>
              </c:pt>
              <c:pt idx="9">
                <c:v>Outubro</c:v>
              </c:pt>
              <c:pt idx="10">
                <c:v>Novembro</c:v>
              </c:pt>
              <c:pt idx="11">
                <c:v>Dezembro</c:v>
              </c:pt>
            </c:strLit>
          </c:cat>
          <c:val>
            <c:numLit>
              <c:formatCode>General</c:formatCode>
              <c:ptCount val="12"/>
              <c:pt idx="0">
                <c:v>4.58</c:v>
              </c:pt>
              <c:pt idx="1">
                <c:v>4</c:v>
              </c:pt>
              <c:pt idx="2">
                <c:v>3.94</c:v>
              </c:pt>
              <c:pt idx="3">
                <c:v>4.13</c:v>
              </c:pt>
              <c:pt idx="4">
                <c:v>4.53</c:v>
              </c:pt>
              <c:pt idx="5">
                <c:v>6.73</c:v>
              </c:pt>
              <c:pt idx="6">
                <c:v>3.32</c:v>
              </c:pt>
              <c:pt idx="7">
                <c:v>5.96</c:v>
              </c:pt>
              <c:pt idx="8">
                <c:v>6.51</c:v>
              </c:pt>
              <c:pt idx="9">
                <c:v>6.94</c:v>
              </c:pt>
              <c:pt idx="10">
                <c:v>6.36</c:v>
              </c:pt>
              <c:pt idx="11">
                <c:v>7.21</c:v>
              </c:pt>
            </c:numLit>
          </c:val>
          <c:extLst>
            <c:ext xmlns:c16="http://schemas.microsoft.com/office/drawing/2014/chart" uri="{C3380CC4-5D6E-409C-BE32-E72D297353CC}">
              <c16:uniqueId val="{00000018-1D16-4EB7-8D6C-B5BDE544ED0A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5169308916424643"/>
          <c:y val="0.85244863992119413"/>
          <c:w val="0.69029081900672007"/>
          <c:h val="9.31347201510609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Custo por Colaborador (R$)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Lit>
              <c:ptCount val="12"/>
              <c:pt idx="0">
                <c:v>Janeiro</c:v>
              </c:pt>
              <c:pt idx="1">
                <c:v>Fevereiro</c:v>
              </c:pt>
              <c:pt idx="2">
                <c:v>Março</c:v>
              </c:pt>
              <c:pt idx="3">
                <c:v>Abril</c:v>
              </c:pt>
              <c:pt idx="4">
                <c:v>Maio</c:v>
              </c:pt>
              <c:pt idx="5">
                <c:v>Junho</c:v>
              </c:pt>
              <c:pt idx="6">
                <c:v>Julho</c:v>
              </c:pt>
              <c:pt idx="7">
                <c:v>Agosto</c:v>
              </c:pt>
              <c:pt idx="8">
                <c:v>Setembro</c:v>
              </c:pt>
              <c:pt idx="9">
                <c:v>Outubro</c:v>
              </c:pt>
              <c:pt idx="10">
                <c:v>Novembro</c:v>
              </c:pt>
              <c:pt idx="11">
                <c:v>Dezembro</c:v>
              </c:pt>
            </c:strLit>
          </c:cat>
          <c:val>
            <c:numLit>
              <c:formatCode>General</c:formatCode>
              <c:ptCount val="12"/>
              <c:pt idx="0">
                <c:v>1417.05</c:v>
              </c:pt>
              <c:pt idx="1">
                <c:v>1357.92</c:v>
              </c:pt>
              <c:pt idx="2">
                <c:v>2720.3</c:v>
              </c:pt>
              <c:pt idx="3">
                <c:v>1360.28</c:v>
              </c:pt>
              <c:pt idx="4">
                <c:v>2681.12</c:v>
              </c:pt>
              <c:pt idx="5">
                <c:v>1696.29</c:v>
              </c:pt>
              <c:pt idx="6">
                <c:v>1759.57</c:v>
              </c:pt>
              <c:pt idx="7">
                <c:v>1476.85</c:v>
              </c:pt>
              <c:pt idx="8">
                <c:v>2660.86</c:v>
              </c:pt>
              <c:pt idx="9">
                <c:v>1648.34</c:v>
              </c:pt>
              <c:pt idx="10">
                <c:v>1539.14</c:v>
              </c:pt>
              <c:pt idx="11">
                <c:v>2091.35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EFC7-45DD-BEA0-7070D2D6B3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354672"/>
        <c:axId val="1047351312"/>
      </c:lineChart>
      <c:catAx>
        <c:axId val="1047354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47351312"/>
        <c:crosses val="autoZero"/>
        <c:auto val="1"/>
        <c:lblAlgn val="ctr"/>
        <c:lblOffset val="100"/>
        <c:noMultiLvlLbl val="0"/>
      </c:catAx>
      <c:valAx>
        <c:axId val="104735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47354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Turnover (%)</c:v>
          </c:tx>
          <c:spPr>
            <a:solidFill>
              <a:schemeClr val="accent3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Janeiro</c:v>
              </c:pt>
              <c:pt idx="1">
                <c:v>Fevereiro</c:v>
              </c:pt>
              <c:pt idx="2">
                <c:v>Março</c:v>
              </c:pt>
              <c:pt idx="3">
                <c:v>Abril</c:v>
              </c:pt>
              <c:pt idx="4">
                <c:v>Maio</c:v>
              </c:pt>
              <c:pt idx="5">
                <c:v>Junho</c:v>
              </c:pt>
              <c:pt idx="6">
                <c:v>Julho</c:v>
              </c:pt>
              <c:pt idx="7">
                <c:v>Agosto</c:v>
              </c:pt>
              <c:pt idx="8">
                <c:v>Setembro</c:v>
              </c:pt>
              <c:pt idx="9">
                <c:v>Outubro</c:v>
              </c:pt>
              <c:pt idx="10">
                <c:v>Novembro</c:v>
              </c:pt>
              <c:pt idx="11">
                <c:v>Dezembro</c:v>
              </c:pt>
            </c:strLit>
          </c:cat>
          <c:val>
            <c:numLit>
              <c:formatCode>General</c:formatCode>
              <c:ptCount val="12"/>
              <c:pt idx="0">
                <c:v>6.75</c:v>
              </c:pt>
              <c:pt idx="1">
                <c:v>8.59</c:v>
              </c:pt>
              <c:pt idx="2">
                <c:v>6.33</c:v>
              </c:pt>
              <c:pt idx="3">
                <c:v>2.6</c:v>
              </c:pt>
              <c:pt idx="4">
                <c:v>9.59</c:v>
              </c:pt>
              <c:pt idx="5">
                <c:v>5.61</c:v>
              </c:pt>
              <c:pt idx="6">
                <c:v>7.44</c:v>
              </c:pt>
              <c:pt idx="7">
                <c:v>3.86</c:v>
              </c:pt>
              <c:pt idx="8">
                <c:v>6.39</c:v>
              </c:pt>
              <c:pt idx="9">
                <c:v>7.45</c:v>
              </c:pt>
              <c:pt idx="10">
                <c:v>5.85</c:v>
              </c:pt>
              <c:pt idx="11">
                <c:v>6.72</c:v>
              </c:pt>
            </c:numLit>
          </c:val>
          <c:extLst>
            <c:ext xmlns:c16="http://schemas.microsoft.com/office/drawing/2014/chart" uri="{C3380CC4-5D6E-409C-BE32-E72D297353CC}">
              <c16:uniqueId val="{00000000-7343-4412-98FB-EDD73516182B}"/>
            </c:ext>
          </c:extLst>
        </c:ser>
        <c:ser>
          <c:idx val="1"/>
          <c:order val="1"/>
          <c:tx>
            <c:v>Absenteísmo (%)</c:v>
          </c:tx>
          <c:spPr>
            <a:solidFill>
              <a:schemeClr val="accent3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Janeiro</c:v>
              </c:pt>
              <c:pt idx="1">
                <c:v>Fevereiro</c:v>
              </c:pt>
              <c:pt idx="2">
                <c:v>Março</c:v>
              </c:pt>
              <c:pt idx="3">
                <c:v>Abril</c:v>
              </c:pt>
              <c:pt idx="4">
                <c:v>Maio</c:v>
              </c:pt>
              <c:pt idx="5">
                <c:v>Junho</c:v>
              </c:pt>
              <c:pt idx="6">
                <c:v>Julho</c:v>
              </c:pt>
              <c:pt idx="7">
                <c:v>Agosto</c:v>
              </c:pt>
              <c:pt idx="8">
                <c:v>Setembro</c:v>
              </c:pt>
              <c:pt idx="9">
                <c:v>Outubro</c:v>
              </c:pt>
              <c:pt idx="10">
                <c:v>Novembro</c:v>
              </c:pt>
              <c:pt idx="11">
                <c:v>Dezembro</c:v>
              </c:pt>
            </c:strLit>
          </c:cat>
          <c:val>
            <c:numLit>
              <c:formatCode>General</c:formatCode>
              <c:ptCount val="12"/>
              <c:pt idx="0">
                <c:v>4.58</c:v>
              </c:pt>
              <c:pt idx="1">
                <c:v>4</c:v>
              </c:pt>
              <c:pt idx="2">
                <c:v>3.94</c:v>
              </c:pt>
              <c:pt idx="3">
                <c:v>4.13</c:v>
              </c:pt>
              <c:pt idx="4">
                <c:v>4.53</c:v>
              </c:pt>
              <c:pt idx="5">
                <c:v>6.73</c:v>
              </c:pt>
              <c:pt idx="6">
                <c:v>3.32</c:v>
              </c:pt>
              <c:pt idx="7">
                <c:v>5.96</c:v>
              </c:pt>
              <c:pt idx="8">
                <c:v>6.51</c:v>
              </c:pt>
              <c:pt idx="9">
                <c:v>6.94</c:v>
              </c:pt>
              <c:pt idx="10">
                <c:v>6.36</c:v>
              </c:pt>
              <c:pt idx="11">
                <c:v>7.21</c:v>
              </c:pt>
            </c:numLit>
          </c:val>
          <c:extLst>
            <c:ext xmlns:c16="http://schemas.microsoft.com/office/drawing/2014/chart" uri="{C3380CC4-5D6E-409C-BE32-E72D297353CC}">
              <c16:uniqueId val="{00000001-7343-4412-98FB-EDD7351618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9028431"/>
        <c:axId val="77474831"/>
      </c:barChart>
      <c:catAx>
        <c:axId val="69028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7474831"/>
        <c:crosses val="autoZero"/>
        <c:auto val="1"/>
        <c:lblAlgn val="ctr"/>
        <c:lblOffset val="100"/>
        <c:noMultiLvlLbl val="0"/>
      </c:catAx>
      <c:valAx>
        <c:axId val="77474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9028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layout>
        <c:manualLayout>
          <c:xMode val="edge"/>
          <c:yMode val="edge"/>
          <c:x val="0.34918044619422572"/>
          <c:y val="2.3164234422052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Desempenho (%)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Lit>
              <c:formatCode>General</c:formatCode>
              <c:ptCount val="12"/>
              <c:pt idx="0">
                <c:v>8</c:v>
              </c:pt>
              <c:pt idx="1">
                <c:v>0</c:v>
              </c:pt>
              <c:pt idx="2">
                <c:v>4</c:v>
              </c:pt>
              <c:pt idx="3">
                <c:v>10</c:v>
              </c:pt>
              <c:pt idx="4">
                <c:v>6</c:v>
              </c:pt>
              <c:pt idx="5">
                <c:v>8</c:v>
              </c:pt>
              <c:pt idx="6">
                <c:v>12</c:v>
              </c:pt>
              <c:pt idx="7">
                <c:v>0</c:v>
              </c:pt>
              <c:pt idx="8">
                <c:v>14</c:v>
              </c:pt>
              <c:pt idx="9">
                <c:v>12</c:v>
              </c:pt>
              <c:pt idx="10">
                <c:v>5</c:v>
              </c:pt>
              <c:pt idx="11">
                <c:v>4</c:v>
              </c:pt>
            </c:numLit>
          </c:xVal>
          <c:yVal>
            <c:numLit>
              <c:formatCode>General</c:formatCode>
              <c:ptCount val="12"/>
              <c:pt idx="0">
                <c:v>85</c:v>
              </c:pt>
              <c:pt idx="1">
                <c:v>78</c:v>
              </c:pt>
              <c:pt idx="2">
                <c:v>92</c:v>
              </c:pt>
              <c:pt idx="3">
                <c:v>88</c:v>
              </c:pt>
              <c:pt idx="4">
                <c:v>80</c:v>
              </c:pt>
              <c:pt idx="5">
                <c:v>95</c:v>
              </c:pt>
              <c:pt idx="6">
                <c:v>70</c:v>
              </c:pt>
              <c:pt idx="7">
                <c:v>90</c:v>
              </c:pt>
              <c:pt idx="8">
                <c:v>87</c:v>
              </c:pt>
              <c:pt idx="9">
                <c:v>75</c:v>
              </c:pt>
              <c:pt idx="10">
                <c:v>85</c:v>
              </c:pt>
              <c:pt idx="11">
                <c:v>88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1203-41FF-8E47-DAAF0718F3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609839"/>
        <c:axId val="68607439"/>
      </c:scatterChart>
      <c:valAx>
        <c:axId val="68609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8607439"/>
        <c:crosses val="autoZero"/>
        <c:crossBetween val="midCat"/>
      </c:valAx>
      <c:valAx>
        <c:axId val="68607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86098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6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7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8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9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</xdr:row>
      <xdr:rowOff>0</xdr:rowOff>
    </xdr:from>
    <xdr:to>
      <xdr:col>10</xdr:col>
      <xdr:colOff>0</xdr:colOff>
      <xdr:row>2</xdr:row>
      <xdr:rowOff>0</xdr:rowOff>
    </xdr:to>
    <xdr:cxnSp macro="">
      <xdr:nvCxnSpPr>
        <xdr:cNvPr id="3" name="Conector reto 2">
          <a:extLst>
            <a:ext uri="{FF2B5EF4-FFF2-40B4-BE49-F238E27FC236}">
              <a16:creationId xmlns:a16="http://schemas.microsoft.com/office/drawing/2014/main" id="{19DCD762-3588-977D-96AF-42DDDA902C6F}"/>
            </a:ext>
          </a:extLst>
        </xdr:cNvPr>
        <xdr:cNvCxnSpPr/>
      </xdr:nvCxnSpPr>
      <xdr:spPr>
        <a:xfrm>
          <a:off x="5486400" y="361950"/>
          <a:ext cx="609600" cy="0"/>
        </a:xfrm>
        <a:prstGeom prst="line">
          <a:avLst/>
        </a:prstGeom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6350</xdr:colOff>
      <xdr:row>2</xdr:row>
      <xdr:rowOff>6350</xdr:rowOff>
    </xdr:from>
    <xdr:to>
      <xdr:col>14</xdr:col>
      <xdr:colOff>9525</xdr:colOff>
      <xdr:row>2</xdr:row>
      <xdr:rowOff>9525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FEC1878A-FC06-4267-9FD4-A660455790E8}"/>
            </a:ext>
          </a:extLst>
        </xdr:cNvPr>
        <xdr:cNvCxnSpPr/>
      </xdr:nvCxnSpPr>
      <xdr:spPr>
        <a:xfrm>
          <a:off x="7931150" y="368300"/>
          <a:ext cx="612775" cy="3175"/>
        </a:xfrm>
        <a:prstGeom prst="line">
          <a:avLst/>
        </a:prstGeom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606425</xdr:colOff>
      <xdr:row>2</xdr:row>
      <xdr:rowOff>6350</xdr:rowOff>
    </xdr:from>
    <xdr:to>
      <xdr:col>17</xdr:col>
      <xdr:colOff>600075</xdr:colOff>
      <xdr:row>2</xdr:row>
      <xdr:rowOff>9525</xdr:rowOff>
    </xdr:to>
    <xdr:cxnSp macro="">
      <xdr:nvCxnSpPr>
        <xdr:cNvPr id="9" name="Conector reto 8">
          <a:extLst>
            <a:ext uri="{FF2B5EF4-FFF2-40B4-BE49-F238E27FC236}">
              <a16:creationId xmlns:a16="http://schemas.microsoft.com/office/drawing/2014/main" id="{498DBB98-C18E-4FA6-AEB4-623FA65C5BB1}"/>
            </a:ext>
          </a:extLst>
        </xdr:cNvPr>
        <xdr:cNvCxnSpPr/>
      </xdr:nvCxnSpPr>
      <xdr:spPr>
        <a:xfrm>
          <a:off x="10360025" y="368300"/>
          <a:ext cx="603250" cy="3175"/>
        </a:xfrm>
        <a:prstGeom prst="line">
          <a:avLst/>
        </a:prstGeom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8</xdr:row>
      <xdr:rowOff>6350</xdr:rowOff>
    </xdr:from>
    <xdr:to>
      <xdr:col>11</xdr:col>
      <xdr:colOff>9525</xdr:colOff>
      <xdr:row>23</xdr:row>
      <xdr:rowOff>9525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C7F72DB9-B9AE-4525-91EA-116BE82296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</xdr:colOff>
      <xdr:row>8</xdr:row>
      <xdr:rowOff>1</xdr:rowOff>
    </xdr:from>
    <xdr:to>
      <xdr:col>21</xdr:col>
      <xdr:colOff>1</xdr:colOff>
      <xdr:row>23</xdr:row>
      <xdr:rowOff>9526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4A644AB9-B96D-4202-BCF4-8266AF1E2F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26</xdr:row>
      <xdr:rowOff>0</xdr:rowOff>
    </xdr:from>
    <xdr:to>
      <xdr:col>21</xdr:col>
      <xdr:colOff>0</xdr:colOff>
      <xdr:row>41</xdr:row>
      <xdr:rowOff>19050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B9ED4434-BEF8-45A4-979C-B6CC0BCBC3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1245871</xdr:colOff>
      <xdr:row>14</xdr:row>
      <xdr:rowOff>158116</xdr:rowOff>
    </xdr:from>
    <xdr:to>
      <xdr:col>16</xdr:col>
      <xdr:colOff>320041</xdr:colOff>
      <xdr:row>37</xdr:row>
      <xdr:rowOff>55245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73D8CB5-EDA6-4B03-9104-BCB75EB15D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582930</xdr:colOff>
      <xdr:row>1</xdr:row>
      <xdr:rowOff>18096</xdr:rowOff>
    </xdr:from>
    <xdr:to>
      <xdr:col>16</xdr:col>
      <xdr:colOff>255270</xdr:colOff>
      <xdr:row>18</xdr:row>
      <xdr:rowOff>43815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3ACAB27-CEB9-43B4-9522-019D182989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243840</xdr:colOff>
      <xdr:row>1</xdr:row>
      <xdr:rowOff>21906</xdr:rowOff>
    </xdr:from>
    <xdr:to>
      <xdr:col>24</xdr:col>
      <xdr:colOff>592455</xdr:colOff>
      <xdr:row>25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4914BFD-BED4-4511-B6E8-13FD5954A7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46355</xdr:colOff>
      <xdr:row>18</xdr:row>
      <xdr:rowOff>40322</xdr:rowOff>
    </xdr:from>
    <xdr:to>
      <xdr:col>16</xdr:col>
      <xdr:colOff>488949</xdr:colOff>
      <xdr:row>33</xdr:row>
      <xdr:rowOff>59372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8DEAFF3-CC2F-410B-B160-16E28946D3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36194</xdr:colOff>
      <xdr:row>22</xdr:row>
      <xdr:rowOff>0</xdr:rowOff>
    </xdr:from>
    <xdr:to>
      <xdr:col>5</xdr:col>
      <xdr:colOff>480059</xdr:colOff>
      <xdr:row>38</xdr:row>
      <xdr:rowOff>106680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4EC85021-F64A-404A-8AA9-CF8DE9E2A0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419101</xdr:colOff>
      <xdr:row>25</xdr:row>
      <xdr:rowOff>92391</xdr:rowOff>
    </xdr:from>
    <xdr:to>
      <xdr:col>25</xdr:col>
      <xdr:colOff>510541</xdr:colOff>
      <xdr:row>47</xdr:row>
      <xdr:rowOff>47624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FBCBC07-B68F-4361-954D-492BDF0589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27939</xdr:colOff>
      <xdr:row>1</xdr:row>
      <xdr:rowOff>11431</xdr:rowOff>
    </xdr:from>
    <xdr:to>
      <xdr:col>8</xdr:col>
      <xdr:colOff>279399</xdr:colOff>
      <xdr:row>12</xdr:row>
      <xdr:rowOff>57150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Departamento">
              <a:extLst>
                <a:ext uri="{FF2B5EF4-FFF2-40B4-BE49-F238E27FC236}">
                  <a16:creationId xmlns:a16="http://schemas.microsoft.com/office/drawing/2014/main" id="{826589BE-F656-46F9-805C-C1B571034BE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partament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232014" y="189231"/>
              <a:ext cx="2073910" cy="203961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aniel\Downloads\curso2_excel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aniel\Downloads\curso2_excel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niel" refreshedDate="45638.993277893518" createdVersion="8" refreshedVersion="8" minRefreshableVersion="3" recordCount="120" xr:uid="{C0CD84E0-1602-49DE-BB45-6AFFA38A6D3A}">
  <cacheSource type="worksheet">
    <worksheetSource name="Tabela2" r:id="rId2"/>
  </cacheSource>
  <cacheFields count="7">
    <cacheField name="Nome" numFmtId="0">
      <sharedItems count="10">
        <s v="João Silva"/>
        <s v="Maria Costa"/>
        <s v="Pedro Santos"/>
        <s v="Ana Lima"/>
        <s v="Carlos Oliveira"/>
        <s v="Juliana Souza"/>
        <s v="Fernanda Almeida"/>
        <s v="Bruno Machado"/>
        <s v="Sofia Pereira"/>
        <s v="Gabriel Mendes"/>
      </sharedItems>
    </cacheField>
    <cacheField name="Competência" numFmtId="0">
      <sharedItems count="12">
        <s v="Janeiro"/>
        <s v="Fevereiro"/>
        <s v="Março"/>
        <s v="Abril"/>
        <s v="Maio"/>
        <s v="Junho"/>
        <s v="Julho"/>
        <s v="Agosto"/>
        <s v="Setembro"/>
        <s v="Outubro"/>
        <s v="Novembro"/>
        <s v="Dezembro"/>
      </sharedItems>
    </cacheField>
    <cacheField name="Dias Trabalhados" numFmtId="0">
      <sharedItems containsSemiMixedTypes="0" containsString="0" containsNumber="1" containsInteger="1" minValue="18" maxValue="25"/>
    </cacheField>
    <cacheField name="Benefício Diário" numFmtId="0">
      <sharedItems containsSemiMixedTypes="0" containsString="0" containsNumber="1" containsInteger="1" minValue="50" maxValue="80"/>
    </cacheField>
    <cacheField name="Desempenho (%)" numFmtId="0">
      <sharedItems containsSemiMixedTypes="0" containsString="0" containsNumber="1" containsInteger="1" minValue="70" maxValue="95" count="11">
        <n v="85"/>
        <n v="78"/>
        <n v="92"/>
        <n v="88"/>
        <n v="80"/>
        <n v="95"/>
        <n v="70"/>
        <n v="90"/>
        <n v="87"/>
        <n v="75"/>
        <n v="82"/>
      </sharedItems>
    </cacheField>
    <cacheField name="Absenteísmo (%)" numFmtId="0">
      <sharedItems containsSemiMixedTypes="0" containsString="0" containsNumber="1" containsInteger="1" minValue="2" maxValue="10"/>
    </cacheField>
    <cacheField name="Benefício Total (Fórmula)" numFmtId="0">
      <sharedItems containsSemiMixedTypes="0" containsString="0" containsNumber="1" containsInteger="1" minValue="1000" maxValue="16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niel" refreshedDate="45639.385246296297" createdVersion="8" refreshedVersion="8" minRefreshableVersion="3" recordCount="12" xr:uid="{4B5290B6-9583-4B41-A488-B616DE668876}">
  <cacheSource type="worksheet">
    <worksheetSource ref="A1:E13" sheet="Segmentação" r:id="rId2"/>
  </cacheSource>
  <cacheFields count="5">
    <cacheField name="Competência" numFmtId="0">
      <sharedItems count="12">
        <s v="Janeiro"/>
        <s v="Fevereiro"/>
        <s v="Março"/>
        <s v="Abril"/>
        <s v="Maio"/>
        <s v="Junho"/>
        <s v="Julho"/>
        <s v="Agosto"/>
        <s v="Setembro"/>
        <s v="Outubro"/>
        <s v="Novembro"/>
        <s v="Dezembro"/>
      </sharedItems>
    </cacheField>
    <cacheField name="Turnover (%)" numFmtId="0">
      <sharedItems containsSemiMixedTypes="0" containsString="0" containsNumber="1" minValue="2.09" maxValue="9.83"/>
    </cacheField>
    <cacheField name="Absenteísmo (%)" numFmtId="0">
      <sharedItems containsSemiMixedTypes="0" containsString="0" containsNumber="1" minValue="3.1" maxValue="8"/>
    </cacheField>
    <cacheField name="Custo por Colaborador (R$)" numFmtId="0">
      <sharedItems containsSemiMixedTypes="0" containsString="0" containsNumber="1" minValue="1255.29" maxValue="2956.8"/>
    </cacheField>
    <cacheField name="Departamento" numFmtId="0">
      <sharedItems count="6">
        <s v="Financeiro"/>
        <s v="Recursos Humanos"/>
        <s v="Marketing"/>
        <s v="Operações"/>
        <s v="TI"/>
        <s v="Vendas"/>
      </sharedItems>
    </cacheField>
  </cacheFields>
  <extLst>
    <ext xmlns:x14="http://schemas.microsoft.com/office/spreadsheetml/2009/9/main" uri="{725AE2AE-9491-48be-B2B4-4EB974FC3084}">
      <x14:pivotCacheDefinition pivotCacheId="61424597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x v="0"/>
    <x v="0"/>
    <n v="20"/>
    <n v="50"/>
    <x v="0"/>
    <n v="3"/>
    <n v="1000"/>
  </r>
  <r>
    <x v="0"/>
    <x v="1"/>
    <n v="22"/>
    <n v="70"/>
    <x v="1"/>
    <n v="7"/>
    <n v="1540"/>
  </r>
  <r>
    <x v="0"/>
    <x v="2"/>
    <n v="18"/>
    <n v="60"/>
    <x v="2"/>
    <n v="5"/>
    <n v="1080"/>
  </r>
  <r>
    <x v="0"/>
    <x v="3"/>
    <n v="25"/>
    <n v="55"/>
    <x v="3"/>
    <n v="2"/>
    <n v="1375"/>
  </r>
  <r>
    <x v="0"/>
    <x v="4"/>
    <n v="20"/>
    <n v="50"/>
    <x v="4"/>
    <n v="6"/>
    <n v="1000"/>
  </r>
  <r>
    <x v="0"/>
    <x v="5"/>
    <n v="19"/>
    <n v="65"/>
    <x v="5"/>
    <n v="4"/>
    <n v="1235"/>
  </r>
  <r>
    <x v="0"/>
    <x v="6"/>
    <n v="21"/>
    <n v="70"/>
    <x v="6"/>
    <n v="10"/>
    <n v="1470"/>
  </r>
  <r>
    <x v="0"/>
    <x v="7"/>
    <n v="24"/>
    <n v="60"/>
    <x v="7"/>
    <n v="5"/>
    <n v="1440"/>
  </r>
  <r>
    <x v="0"/>
    <x v="8"/>
    <n v="20"/>
    <n v="55"/>
    <x v="8"/>
    <n v="8"/>
    <n v="1100"/>
  </r>
  <r>
    <x v="0"/>
    <x v="9"/>
    <n v="23"/>
    <n v="50"/>
    <x v="9"/>
    <n v="3"/>
    <n v="1150"/>
  </r>
  <r>
    <x v="0"/>
    <x v="10"/>
    <n v="22"/>
    <n v="75"/>
    <x v="0"/>
    <n v="6"/>
    <n v="1650"/>
  </r>
  <r>
    <x v="0"/>
    <x v="11"/>
    <n v="21"/>
    <n v="80"/>
    <x v="10"/>
    <n v="4"/>
    <n v="1680"/>
  </r>
  <r>
    <x v="1"/>
    <x v="0"/>
    <n v="20"/>
    <n v="50"/>
    <x v="0"/>
    <n v="3"/>
    <n v="1000"/>
  </r>
  <r>
    <x v="1"/>
    <x v="1"/>
    <n v="22"/>
    <n v="70"/>
    <x v="1"/>
    <n v="7"/>
    <n v="1540"/>
  </r>
  <r>
    <x v="1"/>
    <x v="2"/>
    <n v="18"/>
    <n v="60"/>
    <x v="2"/>
    <n v="5"/>
    <n v="1080"/>
  </r>
  <r>
    <x v="1"/>
    <x v="3"/>
    <n v="25"/>
    <n v="55"/>
    <x v="3"/>
    <n v="2"/>
    <n v="1375"/>
  </r>
  <r>
    <x v="1"/>
    <x v="4"/>
    <n v="20"/>
    <n v="50"/>
    <x v="4"/>
    <n v="6"/>
    <n v="1000"/>
  </r>
  <r>
    <x v="1"/>
    <x v="5"/>
    <n v="19"/>
    <n v="65"/>
    <x v="5"/>
    <n v="4"/>
    <n v="1235"/>
  </r>
  <r>
    <x v="1"/>
    <x v="6"/>
    <n v="21"/>
    <n v="70"/>
    <x v="6"/>
    <n v="10"/>
    <n v="1470"/>
  </r>
  <r>
    <x v="1"/>
    <x v="7"/>
    <n v="24"/>
    <n v="60"/>
    <x v="7"/>
    <n v="5"/>
    <n v="1440"/>
  </r>
  <r>
    <x v="1"/>
    <x v="8"/>
    <n v="20"/>
    <n v="55"/>
    <x v="8"/>
    <n v="8"/>
    <n v="1100"/>
  </r>
  <r>
    <x v="1"/>
    <x v="9"/>
    <n v="23"/>
    <n v="50"/>
    <x v="9"/>
    <n v="3"/>
    <n v="1150"/>
  </r>
  <r>
    <x v="1"/>
    <x v="10"/>
    <n v="22"/>
    <n v="75"/>
    <x v="0"/>
    <n v="6"/>
    <n v="1650"/>
  </r>
  <r>
    <x v="1"/>
    <x v="11"/>
    <n v="21"/>
    <n v="80"/>
    <x v="10"/>
    <n v="4"/>
    <n v="1680"/>
  </r>
  <r>
    <x v="2"/>
    <x v="0"/>
    <n v="20"/>
    <n v="50"/>
    <x v="0"/>
    <n v="3"/>
    <n v="1000"/>
  </r>
  <r>
    <x v="2"/>
    <x v="1"/>
    <n v="22"/>
    <n v="70"/>
    <x v="1"/>
    <n v="7"/>
    <n v="1540"/>
  </r>
  <r>
    <x v="2"/>
    <x v="2"/>
    <n v="18"/>
    <n v="60"/>
    <x v="2"/>
    <n v="5"/>
    <n v="1080"/>
  </r>
  <r>
    <x v="2"/>
    <x v="3"/>
    <n v="25"/>
    <n v="55"/>
    <x v="3"/>
    <n v="2"/>
    <n v="1375"/>
  </r>
  <r>
    <x v="2"/>
    <x v="4"/>
    <n v="20"/>
    <n v="50"/>
    <x v="4"/>
    <n v="6"/>
    <n v="1000"/>
  </r>
  <r>
    <x v="2"/>
    <x v="5"/>
    <n v="19"/>
    <n v="65"/>
    <x v="5"/>
    <n v="4"/>
    <n v="1235"/>
  </r>
  <r>
    <x v="2"/>
    <x v="6"/>
    <n v="21"/>
    <n v="70"/>
    <x v="6"/>
    <n v="10"/>
    <n v="1470"/>
  </r>
  <r>
    <x v="2"/>
    <x v="7"/>
    <n v="24"/>
    <n v="60"/>
    <x v="7"/>
    <n v="5"/>
    <n v="1440"/>
  </r>
  <r>
    <x v="2"/>
    <x v="8"/>
    <n v="20"/>
    <n v="55"/>
    <x v="8"/>
    <n v="8"/>
    <n v="1100"/>
  </r>
  <r>
    <x v="2"/>
    <x v="9"/>
    <n v="23"/>
    <n v="50"/>
    <x v="9"/>
    <n v="3"/>
    <n v="1150"/>
  </r>
  <r>
    <x v="2"/>
    <x v="10"/>
    <n v="22"/>
    <n v="75"/>
    <x v="0"/>
    <n v="6"/>
    <n v="1650"/>
  </r>
  <r>
    <x v="2"/>
    <x v="11"/>
    <n v="21"/>
    <n v="80"/>
    <x v="10"/>
    <n v="4"/>
    <n v="1680"/>
  </r>
  <r>
    <x v="3"/>
    <x v="0"/>
    <n v="20"/>
    <n v="50"/>
    <x v="0"/>
    <n v="3"/>
    <n v="1000"/>
  </r>
  <r>
    <x v="3"/>
    <x v="1"/>
    <n v="22"/>
    <n v="70"/>
    <x v="1"/>
    <n v="7"/>
    <n v="1540"/>
  </r>
  <r>
    <x v="3"/>
    <x v="2"/>
    <n v="18"/>
    <n v="60"/>
    <x v="2"/>
    <n v="5"/>
    <n v="1080"/>
  </r>
  <r>
    <x v="3"/>
    <x v="3"/>
    <n v="25"/>
    <n v="55"/>
    <x v="3"/>
    <n v="2"/>
    <n v="1375"/>
  </r>
  <r>
    <x v="3"/>
    <x v="4"/>
    <n v="20"/>
    <n v="50"/>
    <x v="4"/>
    <n v="6"/>
    <n v="1000"/>
  </r>
  <r>
    <x v="3"/>
    <x v="5"/>
    <n v="19"/>
    <n v="65"/>
    <x v="5"/>
    <n v="4"/>
    <n v="1235"/>
  </r>
  <r>
    <x v="3"/>
    <x v="6"/>
    <n v="21"/>
    <n v="70"/>
    <x v="6"/>
    <n v="10"/>
    <n v="1470"/>
  </r>
  <r>
    <x v="3"/>
    <x v="7"/>
    <n v="24"/>
    <n v="60"/>
    <x v="7"/>
    <n v="5"/>
    <n v="1440"/>
  </r>
  <r>
    <x v="3"/>
    <x v="8"/>
    <n v="20"/>
    <n v="55"/>
    <x v="8"/>
    <n v="8"/>
    <n v="1100"/>
  </r>
  <r>
    <x v="3"/>
    <x v="9"/>
    <n v="23"/>
    <n v="50"/>
    <x v="9"/>
    <n v="3"/>
    <n v="1150"/>
  </r>
  <r>
    <x v="3"/>
    <x v="10"/>
    <n v="22"/>
    <n v="75"/>
    <x v="0"/>
    <n v="6"/>
    <n v="1650"/>
  </r>
  <r>
    <x v="3"/>
    <x v="11"/>
    <n v="21"/>
    <n v="80"/>
    <x v="10"/>
    <n v="4"/>
    <n v="1680"/>
  </r>
  <r>
    <x v="4"/>
    <x v="0"/>
    <n v="20"/>
    <n v="50"/>
    <x v="0"/>
    <n v="3"/>
    <n v="1000"/>
  </r>
  <r>
    <x v="4"/>
    <x v="1"/>
    <n v="22"/>
    <n v="70"/>
    <x v="1"/>
    <n v="7"/>
    <n v="1540"/>
  </r>
  <r>
    <x v="4"/>
    <x v="2"/>
    <n v="18"/>
    <n v="60"/>
    <x v="2"/>
    <n v="5"/>
    <n v="1080"/>
  </r>
  <r>
    <x v="4"/>
    <x v="3"/>
    <n v="25"/>
    <n v="55"/>
    <x v="3"/>
    <n v="2"/>
    <n v="1375"/>
  </r>
  <r>
    <x v="4"/>
    <x v="4"/>
    <n v="20"/>
    <n v="50"/>
    <x v="4"/>
    <n v="6"/>
    <n v="1000"/>
  </r>
  <r>
    <x v="4"/>
    <x v="5"/>
    <n v="19"/>
    <n v="65"/>
    <x v="5"/>
    <n v="4"/>
    <n v="1235"/>
  </r>
  <r>
    <x v="4"/>
    <x v="6"/>
    <n v="21"/>
    <n v="70"/>
    <x v="6"/>
    <n v="10"/>
    <n v="1470"/>
  </r>
  <r>
    <x v="4"/>
    <x v="7"/>
    <n v="24"/>
    <n v="60"/>
    <x v="7"/>
    <n v="5"/>
    <n v="1440"/>
  </r>
  <r>
    <x v="4"/>
    <x v="8"/>
    <n v="20"/>
    <n v="55"/>
    <x v="8"/>
    <n v="8"/>
    <n v="1100"/>
  </r>
  <r>
    <x v="4"/>
    <x v="9"/>
    <n v="23"/>
    <n v="50"/>
    <x v="9"/>
    <n v="3"/>
    <n v="1150"/>
  </r>
  <r>
    <x v="4"/>
    <x v="10"/>
    <n v="22"/>
    <n v="75"/>
    <x v="0"/>
    <n v="6"/>
    <n v="1650"/>
  </r>
  <r>
    <x v="4"/>
    <x v="11"/>
    <n v="21"/>
    <n v="80"/>
    <x v="10"/>
    <n v="4"/>
    <n v="1680"/>
  </r>
  <r>
    <x v="5"/>
    <x v="0"/>
    <n v="20"/>
    <n v="50"/>
    <x v="0"/>
    <n v="3"/>
    <n v="1000"/>
  </r>
  <r>
    <x v="5"/>
    <x v="1"/>
    <n v="22"/>
    <n v="70"/>
    <x v="1"/>
    <n v="7"/>
    <n v="1540"/>
  </r>
  <r>
    <x v="5"/>
    <x v="2"/>
    <n v="18"/>
    <n v="60"/>
    <x v="2"/>
    <n v="5"/>
    <n v="1080"/>
  </r>
  <r>
    <x v="5"/>
    <x v="3"/>
    <n v="25"/>
    <n v="55"/>
    <x v="3"/>
    <n v="2"/>
    <n v="1375"/>
  </r>
  <r>
    <x v="5"/>
    <x v="4"/>
    <n v="20"/>
    <n v="50"/>
    <x v="4"/>
    <n v="6"/>
    <n v="1000"/>
  </r>
  <r>
    <x v="5"/>
    <x v="5"/>
    <n v="19"/>
    <n v="65"/>
    <x v="5"/>
    <n v="4"/>
    <n v="1235"/>
  </r>
  <r>
    <x v="5"/>
    <x v="6"/>
    <n v="21"/>
    <n v="70"/>
    <x v="6"/>
    <n v="10"/>
    <n v="1470"/>
  </r>
  <r>
    <x v="5"/>
    <x v="7"/>
    <n v="24"/>
    <n v="60"/>
    <x v="7"/>
    <n v="5"/>
    <n v="1440"/>
  </r>
  <r>
    <x v="5"/>
    <x v="8"/>
    <n v="20"/>
    <n v="55"/>
    <x v="8"/>
    <n v="8"/>
    <n v="1100"/>
  </r>
  <r>
    <x v="5"/>
    <x v="9"/>
    <n v="23"/>
    <n v="50"/>
    <x v="9"/>
    <n v="3"/>
    <n v="1150"/>
  </r>
  <r>
    <x v="5"/>
    <x v="10"/>
    <n v="22"/>
    <n v="75"/>
    <x v="0"/>
    <n v="6"/>
    <n v="1650"/>
  </r>
  <r>
    <x v="5"/>
    <x v="11"/>
    <n v="21"/>
    <n v="80"/>
    <x v="10"/>
    <n v="4"/>
    <n v="1680"/>
  </r>
  <r>
    <x v="6"/>
    <x v="0"/>
    <n v="20"/>
    <n v="50"/>
    <x v="0"/>
    <n v="3"/>
    <n v="1000"/>
  </r>
  <r>
    <x v="6"/>
    <x v="1"/>
    <n v="22"/>
    <n v="70"/>
    <x v="1"/>
    <n v="7"/>
    <n v="1540"/>
  </r>
  <r>
    <x v="6"/>
    <x v="2"/>
    <n v="18"/>
    <n v="60"/>
    <x v="2"/>
    <n v="5"/>
    <n v="1080"/>
  </r>
  <r>
    <x v="6"/>
    <x v="3"/>
    <n v="25"/>
    <n v="55"/>
    <x v="3"/>
    <n v="2"/>
    <n v="1375"/>
  </r>
  <r>
    <x v="6"/>
    <x v="4"/>
    <n v="20"/>
    <n v="50"/>
    <x v="4"/>
    <n v="6"/>
    <n v="1000"/>
  </r>
  <r>
    <x v="6"/>
    <x v="5"/>
    <n v="19"/>
    <n v="65"/>
    <x v="5"/>
    <n v="4"/>
    <n v="1235"/>
  </r>
  <r>
    <x v="6"/>
    <x v="6"/>
    <n v="21"/>
    <n v="70"/>
    <x v="6"/>
    <n v="10"/>
    <n v="1470"/>
  </r>
  <r>
    <x v="6"/>
    <x v="7"/>
    <n v="24"/>
    <n v="60"/>
    <x v="7"/>
    <n v="5"/>
    <n v="1440"/>
  </r>
  <r>
    <x v="6"/>
    <x v="8"/>
    <n v="20"/>
    <n v="55"/>
    <x v="8"/>
    <n v="8"/>
    <n v="1100"/>
  </r>
  <r>
    <x v="6"/>
    <x v="9"/>
    <n v="23"/>
    <n v="50"/>
    <x v="9"/>
    <n v="3"/>
    <n v="1150"/>
  </r>
  <r>
    <x v="6"/>
    <x v="10"/>
    <n v="22"/>
    <n v="75"/>
    <x v="0"/>
    <n v="6"/>
    <n v="1650"/>
  </r>
  <r>
    <x v="6"/>
    <x v="11"/>
    <n v="21"/>
    <n v="80"/>
    <x v="10"/>
    <n v="4"/>
    <n v="1680"/>
  </r>
  <r>
    <x v="7"/>
    <x v="0"/>
    <n v="20"/>
    <n v="50"/>
    <x v="0"/>
    <n v="3"/>
    <n v="1000"/>
  </r>
  <r>
    <x v="7"/>
    <x v="1"/>
    <n v="22"/>
    <n v="70"/>
    <x v="1"/>
    <n v="7"/>
    <n v="1540"/>
  </r>
  <r>
    <x v="7"/>
    <x v="2"/>
    <n v="18"/>
    <n v="60"/>
    <x v="2"/>
    <n v="5"/>
    <n v="1080"/>
  </r>
  <r>
    <x v="7"/>
    <x v="3"/>
    <n v="25"/>
    <n v="55"/>
    <x v="3"/>
    <n v="2"/>
    <n v="1375"/>
  </r>
  <r>
    <x v="7"/>
    <x v="4"/>
    <n v="20"/>
    <n v="50"/>
    <x v="4"/>
    <n v="6"/>
    <n v="1000"/>
  </r>
  <r>
    <x v="7"/>
    <x v="5"/>
    <n v="19"/>
    <n v="65"/>
    <x v="5"/>
    <n v="4"/>
    <n v="1235"/>
  </r>
  <r>
    <x v="7"/>
    <x v="6"/>
    <n v="21"/>
    <n v="70"/>
    <x v="6"/>
    <n v="10"/>
    <n v="1470"/>
  </r>
  <r>
    <x v="7"/>
    <x v="7"/>
    <n v="24"/>
    <n v="60"/>
    <x v="7"/>
    <n v="5"/>
    <n v="1440"/>
  </r>
  <r>
    <x v="7"/>
    <x v="8"/>
    <n v="20"/>
    <n v="55"/>
    <x v="8"/>
    <n v="8"/>
    <n v="1100"/>
  </r>
  <r>
    <x v="7"/>
    <x v="9"/>
    <n v="23"/>
    <n v="50"/>
    <x v="9"/>
    <n v="3"/>
    <n v="1150"/>
  </r>
  <r>
    <x v="7"/>
    <x v="10"/>
    <n v="22"/>
    <n v="75"/>
    <x v="0"/>
    <n v="6"/>
    <n v="1650"/>
  </r>
  <r>
    <x v="7"/>
    <x v="11"/>
    <n v="21"/>
    <n v="80"/>
    <x v="10"/>
    <n v="4"/>
    <n v="1680"/>
  </r>
  <r>
    <x v="8"/>
    <x v="0"/>
    <n v="20"/>
    <n v="50"/>
    <x v="0"/>
    <n v="3"/>
    <n v="1000"/>
  </r>
  <r>
    <x v="8"/>
    <x v="1"/>
    <n v="22"/>
    <n v="70"/>
    <x v="1"/>
    <n v="7"/>
    <n v="1540"/>
  </r>
  <r>
    <x v="8"/>
    <x v="2"/>
    <n v="18"/>
    <n v="60"/>
    <x v="2"/>
    <n v="5"/>
    <n v="1080"/>
  </r>
  <r>
    <x v="8"/>
    <x v="3"/>
    <n v="25"/>
    <n v="55"/>
    <x v="3"/>
    <n v="2"/>
    <n v="1375"/>
  </r>
  <r>
    <x v="8"/>
    <x v="4"/>
    <n v="20"/>
    <n v="50"/>
    <x v="4"/>
    <n v="6"/>
    <n v="1000"/>
  </r>
  <r>
    <x v="8"/>
    <x v="5"/>
    <n v="19"/>
    <n v="65"/>
    <x v="5"/>
    <n v="4"/>
    <n v="1235"/>
  </r>
  <r>
    <x v="8"/>
    <x v="6"/>
    <n v="21"/>
    <n v="70"/>
    <x v="6"/>
    <n v="10"/>
    <n v="1470"/>
  </r>
  <r>
    <x v="8"/>
    <x v="7"/>
    <n v="24"/>
    <n v="60"/>
    <x v="7"/>
    <n v="5"/>
    <n v="1440"/>
  </r>
  <r>
    <x v="8"/>
    <x v="8"/>
    <n v="20"/>
    <n v="55"/>
    <x v="8"/>
    <n v="8"/>
    <n v="1100"/>
  </r>
  <r>
    <x v="8"/>
    <x v="9"/>
    <n v="23"/>
    <n v="50"/>
    <x v="9"/>
    <n v="3"/>
    <n v="1150"/>
  </r>
  <r>
    <x v="8"/>
    <x v="10"/>
    <n v="22"/>
    <n v="75"/>
    <x v="0"/>
    <n v="6"/>
    <n v="1650"/>
  </r>
  <r>
    <x v="8"/>
    <x v="11"/>
    <n v="21"/>
    <n v="80"/>
    <x v="10"/>
    <n v="4"/>
    <n v="1680"/>
  </r>
  <r>
    <x v="9"/>
    <x v="0"/>
    <n v="20"/>
    <n v="50"/>
    <x v="0"/>
    <n v="3"/>
    <n v="1000"/>
  </r>
  <r>
    <x v="9"/>
    <x v="1"/>
    <n v="22"/>
    <n v="70"/>
    <x v="1"/>
    <n v="7"/>
    <n v="1540"/>
  </r>
  <r>
    <x v="9"/>
    <x v="2"/>
    <n v="18"/>
    <n v="60"/>
    <x v="2"/>
    <n v="5"/>
    <n v="1080"/>
  </r>
  <r>
    <x v="9"/>
    <x v="3"/>
    <n v="25"/>
    <n v="55"/>
    <x v="3"/>
    <n v="2"/>
    <n v="1375"/>
  </r>
  <r>
    <x v="9"/>
    <x v="4"/>
    <n v="20"/>
    <n v="50"/>
    <x v="4"/>
    <n v="6"/>
    <n v="1000"/>
  </r>
  <r>
    <x v="9"/>
    <x v="5"/>
    <n v="19"/>
    <n v="65"/>
    <x v="5"/>
    <n v="4"/>
    <n v="1235"/>
  </r>
  <r>
    <x v="9"/>
    <x v="6"/>
    <n v="21"/>
    <n v="70"/>
    <x v="6"/>
    <n v="10"/>
    <n v="1470"/>
  </r>
  <r>
    <x v="9"/>
    <x v="7"/>
    <n v="24"/>
    <n v="60"/>
    <x v="7"/>
    <n v="5"/>
    <n v="1440"/>
  </r>
  <r>
    <x v="9"/>
    <x v="8"/>
    <n v="20"/>
    <n v="55"/>
    <x v="8"/>
    <n v="8"/>
    <n v="1100"/>
  </r>
  <r>
    <x v="9"/>
    <x v="9"/>
    <n v="23"/>
    <n v="50"/>
    <x v="9"/>
    <n v="3"/>
    <n v="1150"/>
  </r>
  <r>
    <x v="9"/>
    <x v="10"/>
    <n v="22"/>
    <n v="75"/>
    <x v="0"/>
    <n v="6"/>
    <n v="1650"/>
  </r>
  <r>
    <x v="9"/>
    <x v="11"/>
    <n v="21"/>
    <n v="80"/>
    <x v="10"/>
    <n v="4"/>
    <n v="168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n v="4.1100000000000003"/>
    <n v="3.1"/>
    <n v="1619.75"/>
    <x v="0"/>
  </r>
  <r>
    <x v="1"/>
    <n v="2.5499999999999998"/>
    <n v="7.67"/>
    <n v="1762.56"/>
    <x v="1"/>
  </r>
  <r>
    <x v="2"/>
    <n v="6.01"/>
    <n v="4.5599999999999996"/>
    <n v="2042.17"/>
    <x v="2"/>
  </r>
  <r>
    <x v="3"/>
    <n v="9.83"/>
    <n v="4.2300000000000004"/>
    <n v="1499.11"/>
    <x v="3"/>
  </r>
  <r>
    <x v="4"/>
    <n v="2.89"/>
    <n v="5.68"/>
    <n v="1255.29"/>
    <x v="4"/>
  </r>
  <r>
    <x v="5"/>
    <n v="4.1900000000000004"/>
    <n v="6.56"/>
    <n v="2737.31"/>
    <x v="5"/>
  </r>
  <r>
    <x v="6"/>
    <n v="3.33"/>
    <n v="8"/>
    <n v="2714.01"/>
    <x v="0"/>
  </r>
  <r>
    <x v="7"/>
    <n v="6.03"/>
    <n v="6.94"/>
    <n v="2956.8"/>
    <x v="1"/>
  </r>
  <r>
    <x v="8"/>
    <n v="2.09"/>
    <n v="5.9"/>
    <n v="2830.89"/>
    <x v="2"/>
  </r>
  <r>
    <x v="9"/>
    <n v="4.3"/>
    <n v="5.84"/>
    <n v="2148.84"/>
    <x v="3"/>
  </r>
  <r>
    <x v="10"/>
    <n v="5.48"/>
    <n v="7.73"/>
    <n v="2505.89"/>
    <x v="4"/>
  </r>
  <r>
    <x v="11"/>
    <n v="6.4"/>
    <n v="6.23"/>
    <n v="2569.1999999999998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7C1E67-C576-49EF-8DC2-212741184216}" name="Tabela dinâmica14" cacheId="3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A3:E8" firstHeaderRow="1" firstDataRow="2" firstDataCol="1" rowPageCount="1" colPageCount="1"/>
  <pivotFields count="7">
    <pivotField axis="axisRow" showAll="0">
      <items count="11">
        <item x="3"/>
        <item h="1" x="7"/>
        <item x="4"/>
        <item h="1" x="6"/>
        <item h="1" x="9"/>
        <item x="0"/>
        <item h="1" x="5"/>
        <item h="1" x="1"/>
        <item h="1" x="2"/>
        <item h="1" x="8"/>
        <item t="default"/>
      </items>
    </pivotField>
    <pivotField axis="axisCol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axis="axisPage" multipleItemSelectionAllowed="1" showAll="0">
      <items count="12">
        <item h="1" x="6"/>
        <item h="1" x="9"/>
        <item h="1" x="1"/>
        <item h="1" x="4"/>
        <item h="1" x="10"/>
        <item h="1" x="0"/>
        <item h="1" x="8"/>
        <item h="1" x="3"/>
        <item x="7"/>
        <item x="2"/>
        <item x="5"/>
        <item t="default"/>
      </items>
    </pivotField>
    <pivotField showAll="0"/>
    <pivotField dataField="1" showAll="0"/>
  </pivotFields>
  <rowFields count="1">
    <field x="0"/>
  </rowFields>
  <rowItems count="4">
    <i>
      <x/>
    </i>
    <i>
      <x v="2"/>
    </i>
    <i>
      <x v="5"/>
    </i>
    <i t="grand">
      <x/>
    </i>
  </rowItems>
  <colFields count="1">
    <field x="1"/>
  </colFields>
  <colItems count="4">
    <i>
      <x v="2"/>
    </i>
    <i>
      <x v="5"/>
    </i>
    <i>
      <x v="7"/>
    </i>
    <i t="grand">
      <x/>
    </i>
  </colItems>
  <pageFields count="1">
    <pageField fld="4" hier="-1"/>
  </pageFields>
  <dataFields count="1">
    <dataField name="Soma de Benefício Total (Fórmula)" fld="6" baseField="0" baseItem="0"/>
  </dataFields>
  <chartFormats count="1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A362FC-450B-4652-9F98-FC6E704725B7}" name="Tabela dinâmica15" cacheId="3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4:D17" firstHeaderRow="0" firstDataRow="1" firstDataCol="1" rowPageCount="1" colPageCount="1"/>
  <pivotFields count="5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dataField="1" showAll="0"/>
    <pivotField dataField="1" showAll="0"/>
    <pivotField axis="axisPage" multipleItemSelectionAllowed="1" showAll="0">
      <items count="7">
        <item x="0"/>
        <item x="2"/>
        <item x="3"/>
        <item x="1"/>
        <item x="4"/>
        <item x="5"/>
        <item t="default"/>
      </items>
    </pivotField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4" hier="-1"/>
  </pageFields>
  <dataFields count="3">
    <dataField name="Soma de Turnover (%)" fld="1" baseField="0" baseItem="0"/>
    <dataField name="Soma de Absenteísmo (%)" fld="2" baseField="0" baseItem="0"/>
    <dataField name="Soma de Custo por Colaborador (R$)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Departamento" xr10:uid="{3117C1B5-F8DB-4842-9E9A-A1FDCE87EAD4}" sourceName="Departamento">
  <pivotTables>
    <pivotTable tabId="10" name="Tabela dinâmica15"/>
  </pivotTables>
  <data>
    <tabular pivotCacheId="614245978">
      <items count="6">
        <i x="0" s="1"/>
        <i x="2" s="1"/>
        <i x="3" s="1"/>
        <i x="1" s="1"/>
        <i x="4" s="1"/>
        <i x="5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epartamento" xr10:uid="{E4878FAF-CD43-4030-B25A-032E9F57B53F}" cache="SegmentaçãodeDados_Departamento" caption="Departamento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BA6267-ADAF-4D6F-A09B-61A9F023D8AF}" name="Tabela2" displayName="Tabela2" ref="A1:G121" totalsRowShown="0">
  <autoFilter ref="A1:G121" xr:uid="{2CBA6267-ADAF-4D6F-A09B-61A9F023D8AF}"/>
  <tableColumns count="7">
    <tableColumn id="1" xr3:uid="{8991F015-A334-4F17-9E5B-B833A2F1F540}" name="Nome"/>
    <tableColumn id="2" xr3:uid="{777C3C51-C996-4B7C-ADF4-5DF330A00808}" name="Competência"/>
    <tableColumn id="3" xr3:uid="{F87868D3-BD82-424E-81EA-A1030BF77DC3}" name="Dias Trabalhados"/>
    <tableColumn id="4" xr3:uid="{3974695C-F9AB-4364-A656-7858B43CD343}" name="Benefício Diário"/>
    <tableColumn id="5" xr3:uid="{17044803-DE98-41A1-AED6-0FDECCAF8EC3}" name="Desempenho (%)"/>
    <tableColumn id="6" xr3:uid="{F679985D-791D-471B-BB56-D4494D8B7DC6}" name="Absenteísmo (%)"/>
    <tableColumn id="7" xr3:uid="{A72B3540-2A87-4A47-8E33-3436C98EA1D8}" name="Benefício Total (Fórmula)">
      <calculatedColumnFormula>C2*D2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Violeta">
      <a:dk1>
        <a:sysClr val="windowText" lastClr="000000"/>
      </a:dk1>
      <a:lt1>
        <a:sysClr val="window" lastClr="FFFFFF"/>
      </a:lt1>
      <a:dk2>
        <a:srgbClr val="373545"/>
      </a:dk2>
      <a:lt2>
        <a:srgbClr val="DCD8DC"/>
      </a:lt2>
      <a:accent1>
        <a:srgbClr val="AD84C6"/>
      </a:accent1>
      <a:accent2>
        <a:srgbClr val="8784C7"/>
      </a:accent2>
      <a:accent3>
        <a:srgbClr val="5D739A"/>
      </a:accent3>
      <a:accent4>
        <a:srgbClr val="6997AF"/>
      </a:accent4>
      <a:accent5>
        <a:srgbClr val="84ACB6"/>
      </a:accent5>
      <a:accent6>
        <a:srgbClr val="6F8183"/>
      </a:accent6>
      <a:hlink>
        <a:srgbClr val="69A020"/>
      </a:hlink>
      <a:folHlink>
        <a:srgbClr val="8C8C8C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91B47-DEEE-46BC-84FF-0B53CF15E751}">
  <dimension ref="A2:U41"/>
  <sheetViews>
    <sheetView showGridLines="0" tabSelected="1" workbookViewId="0">
      <selection activeCell="X18" sqref="X18"/>
    </sheetView>
  </sheetViews>
  <sheetFormatPr defaultRowHeight="14.5" x14ac:dyDescent="0.35"/>
  <sheetData>
    <row r="2" spans="1:21" x14ac:dyDescent="0.35">
      <c r="A2" s="35" t="s">
        <v>150</v>
      </c>
      <c r="B2" s="36"/>
      <c r="C2" s="36"/>
      <c r="D2" s="36"/>
      <c r="E2" s="36"/>
      <c r="F2" s="36"/>
      <c r="G2" s="36"/>
      <c r="H2" s="36"/>
      <c r="I2" s="37"/>
      <c r="J2" s="20"/>
      <c r="K2" s="31" t="s">
        <v>151</v>
      </c>
      <c r="L2" s="32"/>
      <c r="M2" s="33"/>
      <c r="O2" s="31" t="s">
        <v>152</v>
      </c>
      <c r="P2" s="32"/>
      <c r="Q2" s="33"/>
      <c r="S2" s="31" t="s">
        <v>153</v>
      </c>
      <c r="T2" s="32"/>
      <c r="U2" s="33"/>
    </row>
    <row r="3" spans="1:21" x14ac:dyDescent="0.35">
      <c r="A3" s="38"/>
      <c r="B3" s="39"/>
      <c r="C3" s="39"/>
      <c r="D3" s="39"/>
      <c r="E3" s="39"/>
      <c r="F3" s="39"/>
      <c r="G3" s="39"/>
      <c r="H3" s="39"/>
      <c r="I3" s="40"/>
      <c r="J3" s="19"/>
      <c r="K3" s="22">
        <v>6.4316666666666658</v>
      </c>
      <c r="L3" s="23"/>
      <c r="M3" s="24"/>
      <c r="O3" s="22">
        <v>5.3508333333333331</v>
      </c>
      <c r="P3" s="23"/>
      <c r="Q3" s="24"/>
      <c r="S3" s="22">
        <v>84.416666666666671</v>
      </c>
      <c r="T3" s="23"/>
      <c r="U3" s="24"/>
    </row>
    <row r="4" spans="1:21" x14ac:dyDescent="0.35">
      <c r="A4" s="38"/>
      <c r="B4" s="39"/>
      <c r="C4" s="39"/>
      <c r="D4" s="39"/>
      <c r="E4" s="39"/>
      <c r="F4" s="39"/>
      <c r="G4" s="39"/>
      <c r="H4" s="39"/>
      <c r="I4" s="40"/>
      <c r="J4" s="18"/>
      <c r="K4" s="28"/>
      <c r="L4" s="16"/>
      <c r="M4" s="29"/>
      <c r="O4" s="28"/>
      <c r="P4" s="16"/>
      <c r="Q4" s="29"/>
      <c r="S4" s="28"/>
      <c r="T4" s="16"/>
      <c r="U4" s="29"/>
    </row>
    <row r="5" spans="1:21" x14ac:dyDescent="0.35">
      <c r="A5" s="41"/>
      <c r="B5" s="42"/>
      <c r="C5" s="42"/>
      <c r="D5" s="42"/>
      <c r="E5" s="42"/>
      <c r="F5" s="42"/>
      <c r="G5" s="42"/>
      <c r="H5" s="42"/>
      <c r="I5" s="40"/>
      <c r="J5" s="17"/>
      <c r="K5" s="25"/>
      <c r="L5" s="26"/>
      <c r="M5" s="27"/>
      <c r="O5" s="25"/>
      <c r="P5" s="26"/>
      <c r="Q5" s="27"/>
      <c r="S5" s="25"/>
      <c r="T5" s="26"/>
      <c r="U5" s="27"/>
    </row>
    <row r="6" spans="1:21" x14ac:dyDescent="0.35">
      <c r="J6" s="18"/>
      <c r="K6" s="30"/>
    </row>
    <row r="7" spans="1:21" x14ac:dyDescent="0.35">
      <c r="A7" s="34" t="s">
        <v>154</v>
      </c>
      <c r="B7" s="34"/>
      <c r="C7" s="34"/>
      <c r="D7" s="34"/>
      <c r="E7" s="34"/>
      <c r="F7" s="34"/>
      <c r="G7" s="34"/>
      <c r="H7" s="34"/>
      <c r="I7" s="34"/>
      <c r="J7" s="34"/>
      <c r="K7" s="34"/>
      <c r="M7" s="34" t="s">
        <v>155</v>
      </c>
      <c r="N7" s="34"/>
      <c r="O7" s="34"/>
      <c r="P7" s="34"/>
      <c r="Q7" s="34"/>
      <c r="R7" s="34"/>
      <c r="S7" s="34"/>
      <c r="T7" s="34"/>
      <c r="U7" s="34"/>
    </row>
    <row r="8" spans="1:21" x14ac:dyDescent="0.35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M8" s="34"/>
      <c r="N8" s="34"/>
      <c r="O8" s="34"/>
      <c r="P8" s="34"/>
      <c r="Q8" s="34"/>
      <c r="R8" s="34"/>
      <c r="S8" s="34"/>
      <c r="T8" s="34"/>
      <c r="U8" s="34"/>
    </row>
    <row r="9" spans="1:21" x14ac:dyDescent="0.35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M9" s="15"/>
      <c r="N9" s="15"/>
      <c r="O9" s="15"/>
      <c r="P9" s="15"/>
      <c r="Q9" s="15"/>
      <c r="R9" s="15"/>
      <c r="S9" s="15"/>
      <c r="T9" s="15"/>
      <c r="U9" s="15"/>
    </row>
    <row r="10" spans="1:21" x14ac:dyDescent="0.35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M10" s="15"/>
      <c r="N10" s="15"/>
      <c r="O10" s="15"/>
      <c r="P10" s="15"/>
      <c r="Q10" s="15"/>
      <c r="R10" s="15"/>
      <c r="S10" s="15"/>
      <c r="T10" s="15"/>
      <c r="U10" s="15"/>
    </row>
    <row r="11" spans="1:21" x14ac:dyDescent="0.35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M11" s="15"/>
      <c r="N11" s="15"/>
      <c r="O11" s="15"/>
      <c r="P11" s="15"/>
      <c r="Q11" s="15"/>
      <c r="R11" s="15"/>
      <c r="S11" s="15"/>
      <c r="T11" s="15"/>
      <c r="U11" s="15"/>
    </row>
    <row r="12" spans="1:21" x14ac:dyDescent="0.35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M12" s="15"/>
      <c r="N12" s="15"/>
      <c r="O12" s="15"/>
      <c r="P12" s="15"/>
      <c r="Q12" s="15"/>
      <c r="R12" s="15"/>
      <c r="S12" s="15"/>
      <c r="T12" s="15"/>
      <c r="U12" s="15"/>
    </row>
    <row r="13" spans="1:21" x14ac:dyDescent="0.35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M13" s="15"/>
      <c r="N13" s="15"/>
      <c r="O13" s="15"/>
      <c r="P13" s="15"/>
      <c r="Q13" s="15"/>
      <c r="R13" s="15"/>
      <c r="S13" s="15"/>
      <c r="T13" s="15"/>
      <c r="U13" s="15"/>
    </row>
    <row r="14" spans="1:21" x14ac:dyDescent="0.35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M14" s="15"/>
      <c r="N14" s="15"/>
      <c r="O14" s="15"/>
      <c r="P14" s="15"/>
      <c r="Q14" s="15"/>
      <c r="R14" s="15"/>
      <c r="S14" s="15"/>
      <c r="T14" s="15"/>
      <c r="U14" s="15"/>
    </row>
    <row r="15" spans="1:21" x14ac:dyDescent="0.35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M15" s="15"/>
      <c r="N15" s="15"/>
      <c r="O15" s="15"/>
      <c r="P15" s="15"/>
      <c r="Q15" s="15"/>
      <c r="R15" s="15"/>
      <c r="S15" s="15"/>
      <c r="T15" s="15"/>
      <c r="U15" s="15"/>
    </row>
    <row r="16" spans="1:21" x14ac:dyDescent="0.35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M16" s="15"/>
      <c r="N16" s="15"/>
      <c r="O16" s="15"/>
      <c r="P16" s="15"/>
      <c r="Q16" s="15"/>
      <c r="R16" s="15"/>
      <c r="S16" s="15"/>
      <c r="T16" s="15"/>
      <c r="U16" s="15"/>
    </row>
    <row r="17" spans="1:21" x14ac:dyDescent="0.35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M17" s="15"/>
      <c r="N17" s="15"/>
      <c r="O17" s="15"/>
      <c r="P17" s="15"/>
      <c r="Q17" s="15"/>
      <c r="R17" s="15"/>
      <c r="S17" s="15"/>
      <c r="T17" s="15"/>
      <c r="U17" s="15"/>
    </row>
    <row r="18" spans="1:21" x14ac:dyDescent="0.35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M18" s="15"/>
      <c r="N18" s="15"/>
      <c r="O18" s="15"/>
      <c r="P18" s="15"/>
      <c r="Q18" s="15"/>
      <c r="R18" s="15"/>
      <c r="S18" s="15"/>
      <c r="T18" s="15"/>
      <c r="U18" s="15"/>
    </row>
    <row r="19" spans="1:21" x14ac:dyDescent="0.35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M19" s="15"/>
      <c r="N19" s="15"/>
      <c r="O19" s="15"/>
      <c r="P19" s="15"/>
      <c r="Q19" s="15"/>
      <c r="R19" s="15"/>
      <c r="S19" s="15"/>
      <c r="T19" s="15"/>
      <c r="U19" s="15"/>
    </row>
    <row r="20" spans="1:21" x14ac:dyDescent="0.35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M20" s="15"/>
      <c r="N20" s="15"/>
      <c r="O20" s="15"/>
      <c r="P20" s="15"/>
      <c r="Q20" s="15"/>
      <c r="R20" s="15"/>
      <c r="S20" s="15"/>
      <c r="T20" s="15"/>
      <c r="U20" s="15"/>
    </row>
    <row r="21" spans="1:21" x14ac:dyDescent="0.35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M21" s="15"/>
      <c r="N21" s="15"/>
      <c r="O21" s="15"/>
      <c r="P21" s="15"/>
      <c r="Q21" s="15"/>
      <c r="R21" s="15"/>
      <c r="S21" s="15"/>
      <c r="T21" s="15"/>
      <c r="U21" s="15"/>
    </row>
    <row r="22" spans="1:21" x14ac:dyDescent="0.35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M22" s="15"/>
      <c r="N22" s="15"/>
      <c r="O22" s="15"/>
      <c r="P22" s="15"/>
      <c r="Q22" s="15"/>
      <c r="R22" s="15"/>
      <c r="S22" s="15"/>
      <c r="T22" s="15"/>
      <c r="U22" s="15"/>
    </row>
    <row r="23" spans="1:21" x14ac:dyDescent="0.35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M23" s="15"/>
      <c r="N23" s="15"/>
      <c r="O23" s="15"/>
      <c r="P23" s="15"/>
      <c r="Q23" s="15"/>
      <c r="R23" s="15"/>
      <c r="S23" s="15"/>
      <c r="T23" s="15"/>
      <c r="U23" s="15"/>
    </row>
    <row r="25" spans="1:21" ht="14.5" customHeight="1" x14ac:dyDescent="0.35">
      <c r="A25" s="34" t="s">
        <v>156</v>
      </c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</row>
    <row r="26" spans="1:21" ht="14.5" customHeight="1" x14ac:dyDescent="0.35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</row>
    <row r="27" spans="1:21" x14ac:dyDescent="0.35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</row>
    <row r="28" spans="1:21" x14ac:dyDescent="0.35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</row>
    <row r="29" spans="1:21" x14ac:dyDescent="0.35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</row>
    <row r="30" spans="1:21" x14ac:dyDescent="0.35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</row>
    <row r="31" spans="1:21" x14ac:dyDescent="0.35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</row>
    <row r="32" spans="1:21" x14ac:dyDescent="0.35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</row>
    <row r="33" spans="1:21" x14ac:dyDescent="0.35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</row>
    <row r="34" spans="1:21" x14ac:dyDescent="0.35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</row>
    <row r="35" spans="1:21" x14ac:dyDescent="0.35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</row>
    <row r="36" spans="1:21" x14ac:dyDescent="0.35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</row>
    <row r="37" spans="1:21" x14ac:dyDescent="0.35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</row>
    <row r="38" spans="1:21" x14ac:dyDescent="0.35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</row>
    <row r="39" spans="1:21" x14ac:dyDescent="0.35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</row>
    <row r="40" spans="1:21" x14ac:dyDescent="0.35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</row>
    <row r="41" spans="1:21" x14ac:dyDescent="0.35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</row>
  </sheetData>
  <mergeCells count="13">
    <mergeCell ref="A9:K23"/>
    <mergeCell ref="A7:K8"/>
    <mergeCell ref="M7:U8"/>
    <mergeCell ref="M9:U23"/>
    <mergeCell ref="A27:U41"/>
    <mergeCell ref="A25:U26"/>
    <mergeCell ref="A2:I5"/>
    <mergeCell ref="K2:M2"/>
    <mergeCell ref="K3:M5"/>
    <mergeCell ref="O2:Q2"/>
    <mergeCell ref="O3:Q5"/>
    <mergeCell ref="S2:U2"/>
    <mergeCell ref="S3:U5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EF083-9155-49EC-ADE9-C5E11368B2FB}">
  <dimension ref="A1:D71"/>
  <sheetViews>
    <sheetView workbookViewId="0">
      <selection sqref="A1:D71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>
        <v>0</v>
      </c>
      <c r="C2">
        <v>79</v>
      </c>
      <c r="D2" t="str">
        <f t="shared" ref="D2:D65" si="0">IF(OR(B2&lt;5,C2&gt;80),"Elegível","Revisar")</f>
        <v>Elegível</v>
      </c>
    </row>
    <row r="3" spans="1:4" x14ac:dyDescent="0.35">
      <c r="A3" t="s">
        <v>5</v>
      </c>
      <c r="B3">
        <v>3</v>
      </c>
      <c r="C3">
        <v>92</v>
      </c>
      <c r="D3" t="str">
        <f t="shared" si="0"/>
        <v>Elegível</v>
      </c>
    </row>
    <row r="4" spans="1:4" x14ac:dyDescent="0.35">
      <c r="A4" t="s">
        <v>6</v>
      </c>
      <c r="B4">
        <v>8</v>
      </c>
      <c r="C4">
        <v>67</v>
      </c>
      <c r="D4" t="str">
        <f t="shared" si="0"/>
        <v>Revisar</v>
      </c>
    </row>
    <row r="5" spans="1:4" x14ac:dyDescent="0.35">
      <c r="A5" t="s">
        <v>7</v>
      </c>
      <c r="B5">
        <v>6</v>
      </c>
      <c r="C5">
        <v>62</v>
      </c>
      <c r="D5" t="str">
        <f t="shared" si="0"/>
        <v>Revisar</v>
      </c>
    </row>
    <row r="6" spans="1:4" x14ac:dyDescent="0.35">
      <c r="A6" t="s">
        <v>8</v>
      </c>
      <c r="B6">
        <v>4</v>
      </c>
      <c r="C6">
        <v>74</v>
      </c>
      <c r="D6" t="str">
        <f t="shared" si="0"/>
        <v>Elegível</v>
      </c>
    </row>
    <row r="7" spans="1:4" x14ac:dyDescent="0.35">
      <c r="A7" t="s">
        <v>9</v>
      </c>
      <c r="B7">
        <v>2</v>
      </c>
      <c r="C7">
        <v>72</v>
      </c>
      <c r="D7" t="str">
        <f t="shared" si="0"/>
        <v>Elegível</v>
      </c>
    </row>
    <row r="8" spans="1:4" x14ac:dyDescent="0.35">
      <c r="A8" t="s">
        <v>10</v>
      </c>
      <c r="B8">
        <v>3</v>
      </c>
      <c r="C8">
        <v>74</v>
      </c>
      <c r="D8" t="str">
        <f t="shared" si="0"/>
        <v>Elegível</v>
      </c>
    </row>
    <row r="9" spans="1:4" x14ac:dyDescent="0.35">
      <c r="A9" t="s">
        <v>11</v>
      </c>
      <c r="B9">
        <v>5</v>
      </c>
      <c r="C9">
        <v>77</v>
      </c>
      <c r="D9" t="str">
        <f t="shared" si="0"/>
        <v>Revisar</v>
      </c>
    </row>
    <row r="10" spans="1:4" x14ac:dyDescent="0.35">
      <c r="A10" t="s">
        <v>12</v>
      </c>
      <c r="B10">
        <v>5</v>
      </c>
      <c r="C10">
        <v>55</v>
      </c>
      <c r="D10" t="str">
        <f t="shared" si="0"/>
        <v>Revisar</v>
      </c>
    </row>
    <row r="11" spans="1:4" x14ac:dyDescent="0.35">
      <c r="A11" t="s">
        <v>13</v>
      </c>
      <c r="B11">
        <v>5</v>
      </c>
      <c r="C11">
        <v>53</v>
      </c>
      <c r="D11" t="str">
        <f t="shared" si="0"/>
        <v>Revisar</v>
      </c>
    </row>
    <row r="12" spans="1:4" x14ac:dyDescent="0.35">
      <c r="A12" t="s">
        <v>14</v>
      </c>
      <c r="B12">
        <v>1</v>
      </c>
      <c r="C12">
        <v>81</v>
      </c>
      <c r="D12" t="str">
        <f t="shared" si="0"/>
        <v>Elegível</v>
      </c>
    </row>
    <row r="13" spans="1:4" x14ac:dyDescent="0.35">
      <c r="A13" t="s">
        <v>15</v>
      </c>
      <c r="B13">
        <v>8</v>
      </c>
      <c r="C13">
        <v>74</v>
      </c>
      <c r="D13" t="str">
        <f t="shared" si="0"/>
        <v>Revisar</v>
      </c>
    </row>
    <row r="14" spans="1:4" x14ac:dyDescent="0.35">
      <c r="A14" t="s">
        <v>16</v>
      </c>
      <c r="B14">
        <v>6</v>
      </c>
      <c r="C14">
        <v>70</v>
      </c>
      <c r="D14" t="str">
        <f t="shared" si="0"/>
        <v>Revisar</v>
      </c>
    </row>
    <row r="15" spans="1:4" x14ac:dyDescent="0.35">
      <c r="A15" t="s">
        <v>17</v>
      </c>
      <c r="B15">
        <v>7</v>
      </c>
      <c r="C15">
        <v>88</v>
      </c>
      <c r="D15" t="str">
        <f t="shared" si="0"/>
        <v>Elegível</v>
      </c>
    </row>
    <row r="16" spans="1:4" x14ac:dyDescent="0.35">
      <c r="A16" t="s">
        <v>18</v>
      </c>
      <c r="B16">
        <v>7</v>
      </c>
      <c r="C16">
        <v>72</v>
      </c>
      <c r="D16" t="str">
        <f t="shared" si="0"/>
        <v>Revisar</v>
      </c>
    </row>
    <row r="17" spans="1:4" x14ac:dyDescent="0.35">
      <c r="A17" t="s">
        <v>19</v>
      </c>
      <c r="B17">
        <v>6</v>
      </c>
      <c r="C17">
        <v>86</v>
      </c>
      <c r="D17" t="str">
        <f t="shared" si="0"/>
        <v>Elegível</v>
      </c>
    </row>
    <row r="18" spans="1:4" x14ac:dyDescent="0.35">
      <c r="A18" t="s">
        <v>20</v>
      </c>
      <c r="B18">
        <v>10</v>
      </c>
      <c r="C18">
        <v>68</v>
      </c>
      <c r="D18" t="str">
        <f t="shared" si="0"/>
        <v>Revisar</v>
      </c>
    </row>
    <row r="19" spans="1:4" x14ac:dyDescent="0.35">
      <c r="A19" t="s">
        <v>21</v>
      </c>
      <c r="B19">
        <v>4</v>
      </c>
      <c r="C19">
        <v>75</v>
      </c>
      <c r="D19" t="str">
        <f t="shared" si="0"/>
        <v>Elegível</v>
      </c>
    </row>
    <row r="20" spans="1:4" x14ac:dyDescent="0.35">
      <c r="A20" t="s">
        <v>22</v>
      </c>
      <c r="B20">
        <v>10</v>
      </c>
      <c r="C20">
        <v>77</v>
      </c>
      <c r="D20" t="str">
        <f t="shared" si="0"/>
        <v>Revisar</v>
      </c>
    </row>
    <row r="21" spans="1:4" x14ac:dyDescent="0.35">
      <c r="A21" t="s">
        <v>23</v>
      </c>
      <c r="B21">
        <v>5</v>
      </c>
      <c r="C21">
        <v>65</v>
      </c>
      <c r="D21" t="str">
        <f t="shared" si="0"/>
        <v>Revisar</v>
      </c>
    </row>
    <row r="22" spans="1:4" x14ac:dyDescent="0.35">
      <c r="A22" t="s">
        <v>24</v>
      </c>
      <c r="B22">
        <v>0</v>
      </c>
      <c r="C22">
        <v>87</v>
      </c>
      <c r="D22" t="str">
        <f t="shared" si="0"/>
        <v>Elegível</v>
      </c>
    </row>
    <row r="23" spans="1:4" x14ac:dyDescent="0.35">
      <c r="A23" t="s">
        <v>25</v>
      </c>
      <c r="B23">
        <v>1</v>
      </c>
      <c r="C23">
        <v>83</v>
      </c>
      <c r="D23" t="str">
        <f t="shared" si="0"/>
        <v>Elegível</v>
      </c>
    </row>
    <row r="24" spans="1:4" x14ac:dyDescent="0.35">
      <c r="A24" t="s">
        <v>26</v>
      </c>
      <c r="B24">
        <v>0</v>
      </c>
      <c r="C24">
        <v>81</v>
      </c>
      <c r="D24" t="str">
        <f t="shared" si="0"/>
        <v>Elegível</v>
      </c>
    </row>
    <row r="25" spans="1:4" x14ac:dyDescent="0.35">
      <c r="A25" t="s">
        <v>27</v>
      </c>
      <c r="B25">
        <v>0</v>
      </c>
      <c r="C25">
        <v>80</v>
      </c>
      <c r="D25" t="str">
        <f t="shared" si="0"/>
        <v>Elegível</v>
      </c>
    </row>
    <row r="26" spans="1:4" x14ac:dyDescent="0.35">
      <c r="A26" t="s">
        <v>28</v>
      </c>
      <c r="B26">
        <v>0</v>
      </c>
      <c r="C26">
        <v>74</v>
      </c>
      <c r="D26" t="str">
        <f t="shared" si="0"/>
        <v>Elegível</v>
      </c>
    </row>
    <row r="27" spans="1:4" x14ac:dyDescent="0.35">
      <c r="A27" t="s">
        <v>29</v>
      </c>
      <c r="B27">
        <v>5</v>
      </c>
      <c r="C27">
        <v>73</v>
      </c>
      <c r="D27" t="str">
        <f t="shared" si="0"/>
        <v>Revisar</v>
      </c>
    </row>
    <row r="28" spans="1:4" x14ac:dyDescent="0.35">
      <c r="A28" t="s">
        <v>30</v>
      </c>
      <c r="B28">
        <v>0</v>
      </c>
      <c r="C28">
        <v>50</v>
      </c>
      <c r="D28" t="str">
        <f t="shared" si="0"/>
        <v>Elegível</v>
      </c>
    </row>
    <row r="29" spans="1:4" x14ac:dyDescent="0.35">
      <c r="A29" t="s">
        <v>31</v>
      </c>
      <c r="B29">
        <v>1</v>
      </c>
      <c r="C29">
        <v>85</v>
      </c>
      <c r="D29" t="str">
        <f t="shared" si="0"/>
        <v>Elegível</v>
      </c>
    </row>
    <row r="30" spans="1:4" x14ac:dyDescent="0.35">
      <c r="A30" t="s">
        <v>32</v>
      </c>
      <c r="B30">
        <v>9</v>
      </c>
      <c r="C30">
        <v>95</v>
      </c>
      <c r="D30" t="str">
        <f t="shared" si="0"/>
        <v>Elegível</v>
      </c>
    </row>
    <row r="31" spans="1:4" x14ac:dyDescent="0.35">
      <c r="A31" t="s">
        <v>33</v>
      </c>
      <c r="B31">
        <v>1</v>
      </c>
      <c r="C31">
        <v>73</v>
      </c>
      <c r="D31" t="str">
        <f t="shared" si="0"/>
        <v>Elegível</v>
      </c>
    </row>
    <row r="32" spans="1:4" x14ac:dyDescent="0.35">
      <c r="A32" t="s">
        <v>34</v>
      </c>
      <c r="B32">
        <v>3</v>
      </c>
      <c r="C32">
        <v>77</v>
      </c>
      <c r="D32" t="str">
        <f t="shared" si="0"/>
        <v>Elegível</v>
      </c>
    </row>
    <row r="33" spans="1:4" x14ac:dyDescent="0.35">
      <c r="A33" t="s">
        <v>35</v>
      </c>
      <c r="B33">
        <v>5</v>
      </c>
      <c r="C33">
        <v>80</v>
      </c>
      <c r="D33" t="str">
        <f t="shared" si="0"/>
        <v>Revisar</v>
      </c>
    </row>
    <row r="34" spans="1:4" x14ac:dyDescent="0.35">
      <c r="A34" t="s">
        <v>36</v>
      </c>
      <c r="B34">
        <v>7</v>
      </c>
      <c r="C34">
        <v>94</v>
      </c>
      <c r="D34" t="str">
        <f t="shared" si="0"/>
        <v>Elegível</v>
      </c>
    </row>
    <row r="35" spans="1:4" x14ac:dyDescent="0.35">
      <c r="A35" t="s">
        <v>37</v>
      </c>
      <c r="B35">
        <v>1</v>
      </c>
      <c r="C35">
        <v>52</v>
      </c>
      <c r="D35" t="str">
        <f t="shared" si="0"/>
        <v>Elegível</v>
      </c>
    </row>
    <row r="36" spans="1:4" x14ac:dyDescent="0.35">
      <c r="A36" t="s">
        <v>38</v>
      </c>
      <c r="B36">
        <v>1</v>
      </c>
      <c r="C36">
        <v>87</v>
      </c>
      <c r="D36" t="str">
        <f t="shared" si="0"/>
        <v>Elegível</v>
      </c>
    </row>
    <row r="37" spans="1:4" x14ac:dyDescent="0.35">
      <c r="A37" t="s">
        <v>39</v>
      </c>
      <c r="B37">
        <v>7</v>
      </c>
      <c r="C37">
        <v>88</v>
      </c>
      <c r="D37" t="str">
        <f t="shared" si="0"/>
        <v>Elegível</v>
      </c>
    </row>
    <row r="38" spans="1:4" x14ac:dyDescent="0.35">
      <c r="A38" t="s">
        <v>40</v>
      </c>
      <c r="B38">
        <v>0</v>
      </c>
      <c r="C38">
        <v>91</v>
      </c>
      <c r="D38" t="str">
        <f t="shared" si="0"/>
        <v>Elegível</v>
      </c>
    </row>
    <row r="39" spans="1:4" x14ac:dyDescent="0.35">
      <c r="A39" t="s">
        <v>41</v>
      </c>
      <c r="B39">
        <v>3</v>
      </c>
      <c r="C39">
        <v>64</v>
      </c>
      <c r="D39" t="str">
        <f t="shared" si="0"/>
        <v>Elegível</v>
      </c>
    </row>
    <row r="40" spans="1:4" x14ac:dyDescent="0.35">
      <c r="A40" t="s">
        <v>42</v>
      </c>
      <c r="B40">
        <v>3</v>
      </c>
      <c r="C40">
        <v>56</v>
      </c>
      <c r="D40" t="str">
        <f t="shared" si="0"/>
        <v>Elegível</v>
      </c>
    </row>
    <row r="41" spans="1:4" x14ac:dyDescent="0.35">
      <c r="A41" t="s">
        <v>43</v>
      </c>
      <c r="B41">
        <v>8</v>
      </c>
      <c r="C41">
        <v>58</v>
      </c>
      <c r="D41" t="str">
        <f t="shared" si="0"/>
        <v>Revisar</v>
      </c>
    </row>
    <row r="42" spans="1:4" x14ac:dyDescent="0.35">
      <c r="A42" t="s">
        <v>44</v>
      </c>
      <c r="B42">
        <v>2</v>
      </c>
      <c r="C42">
        <v>86</v>
      </c>
      <c r="D42" t="str">
        <f t="shared" si="0"/>
        <v>Elegível</v>
      </c>
    </row>
    <row r="43" spans="1:4" x14ac:dyDescent="0.35">
      <c r="A43" t="s">
        <v>45</v>
      </c>
      <c r="B43">
        <v>2</v>
      </c>
      <c r="C43">
        <v>95</v>
      </c>
      <c r="D43" t="str">
        <f t="shared" si="0"/>
        <v>Elegível</v>
      </c>
    </row>
    <row r="44" spans="1:4" x14ac:dyDescent="0.35">
      <c r="A44" t="s">
        <v>46</v>
      </c>
      <c r="B44">
        <v>3</v>
      </c>
      <c r="C44">
        <v>55</v>
      </c>
      <c r="D44" t="str">
        <f t="shared" si="0"/>
        <v>Elegível</v>
      </c>
    </row>
    <row r="45" spans="1:4" x14ac:dyDescent="0.35">
      <c r="A45" t="s">
        <v>47</v>
      </c>
      <c r="B45">
        <v>4</v>
      </c>
      <c r="C45">
        <v>56</v>
      </c>
      <c r="D45" t="str">
        <f t="shared" si="0"/>
        <v>Elegível</v>
      </c>
    </row>
    <row r="46" spans="1:4" x14ac:dyDescent="0.35">
      <c r="A46" t="s">
        <v>48</v>
      </c>
      <c r="B46">
        <v>9</v>
      </c>
      <c r="C46">
        <v>67</v>
      </c>
      <c r="D46" t="str">
        <f t="shared" si="0"/>
        <v>Revisar</v>
      </c>
    </row>
    <row r="47" spans="1:4" x14ac:dyDescent="0.35">
      <c r="A47" t="s">
        <v>49</v>
      </c>
      <c r="B47">
        <v>5</v>
      </c>
      <c r="C47">
        <v>83</v>
      </c>
      <c r="D47" t="str">
        <f t="shared" si="0"/>
        <v>Elegível</v>
      </c>
    </row>
    <row r="48" spans="1:4" x14ac:dyDescent="0.35">
      <c r="A48" t="s">
        <v>50</v>
      </c>
      <c r="B48">
        <v>5</v>
      </c>
      <c r="C48">
        <v>60</v>
      </c>
      <c r="D48" t="str">
        <f t="shared" si="0"/>
        <v>Revisar</v>
      </c>
    </row>
    <row r="49" spans="1:4" x14ac:dyDescent="0.35">
      <c r="A49" t="s">
        <v>51</v>
      </c>
      <c r="B49">
        <v>4</v>
      </c>
      <c r="C49">
        <v>71</v>
      </c>
      <c r="D49" t="str">
        <f t="shared" si="0"/>
        <v>Elegível</v>
      </c>
    </row>
    <row r="50" spans="1:4" x14ac:dyDescent="0.35">
      <c r="A50" t="s">
        <v>52</v>
      </c>
      <c r="B50">
        <v>7</v>
      </c>
      <c r="C50">
        <v>65</v>
      </c>
      <c r="D50" t="str">
        <f t="shared" si="0"/>
        <v>Revisar</v>
      </c>
    </row>
    <row r="51" spans="1:4" x14ac:dyDescent="0.35">
      <c r="A51" t="s">
        <v>53</v>
      </c>
      <c r="B51">
        <v>4</v>
      </c>
      <c r="C51">
        <v>75</v>
      </c>
      <c r="D51" t="str">
        <f t="shared" si="0"/>
        <v>Elegível</v>
      </c>
    </row>
    <row r="52" spans="1:4" x14ac:dyDescent="0.35">
      <c r="A52" t="s">
        <v>54</v>
      </c>
      <c r="B52">
        <v>3</v>
      </c>
      <c r="C52">
        <v>61</v>
      </c>
      <c r="D52" t="str">
        <f t="shared" si="0"/>
        <v>Elegível</v>
      </c>
    </row>
    <row r="53" spans="1:4" x14ac:dyDescent="0.35">
      <c r="A53" t="s">
        <v>55</v>
      </c>
      <c r="B53">
        <v>1</v>
      </c>
      <c r="C53">
        <v>73</v>
      </c>
      <c r="D53" t="str">
        <f t="shared" si="0"/>
        <v>Elegível</v>
      </c>
    </row>
    <row r="54" spans="1:4" x14ac:dyDescent="0.35">
      <c r="A54" t="s">
        <v>56</v>
      </c>
      <c r="B54">
        <v>7</v>
      </c>
      <c r="C54">
        <v>96</v>
      </c>
      <c r="D54" t="str">
        <f t="shared" si="0"/>
        <v>Elegível</v>
      </c>
    </row>
    <row r="55" spans="1:4" x14ac:dyDescent="0.35">
      <c r="A55" t="s">
        <v>57</v>
      </c>
      <c r="B55">
        <v>6</v>
      </c>
      <c r="C55">
        <v>65</v>
      </c>
      <c r="D55" t="str">
        <f t="shared" si="0"/>
        <v>Revisar</v>
      </c>
    </row>
    <row r="56" spans="1:4" x14ac:dyDescent="0.35">
      <c r="A56" t="s">
        <v>58</v>
      </c>
      <c r="B56">
        <v>0</v>
      </c>
      <c r="C56">
        <v>57</v>
      </c>
      <c r="D56" t="str">
        <f t="shared" si="0"/>
        <v>Elegível</v>
      </c>
    </row>
    <row r="57" spans="1:4" x14ac:dyDescent="0.35">
      <c r="A57" t="s">
        <v>27</v>
      </c>
      <c r="B57">
        <v>6</v>
      </c>
      <c r="C57">
        <v>58</v>
      </c>
      <c r="D57" t="str">
        <f t="shared" si="0"/>
        <v>Revisar</v>
      </c>
    </row>
    <row r="58" spans="1:4" x14ac:dyDescent="0.35">
      <c r="A58" t="s">
        <v>59</v>
      </c>
      <c r="B58">
        <v>3</v>
      </c>
      <c r="C58">
        <v>84</v>
      </c>
      <c r="D58" t="str">
        <f t="shared" si="0"/>
        <v>Elegível</v>
      </c>
    </row>
    <row r="59" spans="1:4" x14ac:dyDescent="0.35">
      <c r="A59" t="s">
        <v>60</v>
      </c>
      <c r="B59">
        <v>10</v>
      </c>
      <c r="C59">
        <v>61</v>
      </c>
      <c r="D59" t="str">
        <f t="shared" si="0"/>
        <v>Revisar</v>
      </c>
    </row>
    <row r="60" spans="1:4" x14ac:dyDescent="0.35">
      <c r="A60" t="s">
        <v>61</v>
      </c>
      <c r="B60">
        <v>2</v>
      </c>
      <c r="C60">
        <v>95</v>
      </c>
      <c r="D60" t="str">
        <f t="shared" si="0"/>
        <v>Elegível</v>
      </c>
    </row>
    <row r="61" spans="1:4" x14ac:dyDescent="0.35">
      <c r="A61" t="s">
        <v>62</v>
      </c>
      <c r="B61">
        <v>0</v>
      </c>
      <c r="C61">
        <v>50</v>
      </c>
      <c r="D61" t="str">
        <f t="shared" si="0"/>
        <v>Elegível</v>
      </c>
    </row>
    <row r="62" spans="1:4" x14ac:dyDescent="0.35">
      <c r="A62" t="s">
        <v>63</v>
      </c>
      <c r="B62">
        <v>2</v>
      </c>
      <c r="C62">
        <v>75</v>
      </c>
      <c r="D62" t="str">
        <f t="shared" si="0"/>
        <v>Elegível</v>
      </c>
    </row>
    <row r="63" spans="1:4" x14ac:dyDescent="0.35">
      <c r="A63" t="s">
        <v>64</v>
      </c>
      <c r="B63">
        <v>0</v>
      </c>
      <c r="C63">
        <v>95</v>
      </c>
      <c r="D63" t="str">
        <f t="shared" si="0"/>
        <v>Elegível</v>
      </c>
    </row>
    <row r="64" spans="1:4" x14ac:dyDescent="0.35">
      <c r="A64" t="s">
        <v>65</v>
      </c>
      <c r="B64">
        <v>3</v>
      </c>
      <c r="C64">
        <v>97</v>
      </c>
      <c r="D64" t="str">
        <f t="shared" si="0"/>
        <v>Elegível</v>
      </c>
    </row>
    <row r="65" spans="1:4" x14ac:dyDescent="0.35">
      <c r="A65" t="s">
        <v>66</v>
      </c>
      <c r="B65">
        <v>5</v>
      </c>
      <c r="C65">
        <v>53</v>
      </c>
      <c r="D65" t="str">
        <f t="shared" si="0"/>
        <v>Revisar</v>
      </c>
    </row>
    <row r="66" spans="1:4" x14ac:dyDescent="0.35">
      <c r="A66" t="s">
        <v>67</v>
      </c>
      <c r="B66">
        <v>8</v>
      </c>
      <c r="C66">
        <v>89</v>
      </c>
      <c r="D66" t="str">
        <f t="shared" ref="D66:D71" si="1">IF(OR(B66&lt;5,C66&gt;80),"Elegível","Revisar")</f>
        <v>Elegível</v>
      </c>
    </row>
    <row r="67" spans="1:4" x14ac:dyDescent="0.35">
      <c r="A67" t="s">
        <v>68</v>
      </c>
      <c r="B67">
        <v>2</v>
      </c>
      <c r="C67">
        <v>71</v>
      </c>
      <c r="D67" t="str">
        <f t="shared" si="1"/>
        <v>Elegível</v>
      </c>
    </row>
    <row r="68" spans="1:4" x14ac:dyDescent="0.35">
      <c r="A68" t="s">
        <v>69</v>
      </c>
      <c r="B68">
        <v>1</v>
      </c>
      <c r="C68">
        <v>72</v>
      </c>
      <c r="D68" t="str">
        <f t="shared" si="1"/>
        <v>Elegível</v>
      </c>
    </row>
    <row r="69" spans="1:4" x14ac:dyDescent="0.35">
      <c r="A69" t="s">
        <v>70</v>
      </c>
      <c r="B69">
        <v>7</v>
      </c>
      <c r="C69">
        <v>54</v>
      </c>
      <c r="D69" t="str">
        <f t="shared" si="1"/>
        <v>Revisar</v>
      </c>
    </row>
    <row r="70" spans="1:4" x14ac:dyDescent="0.35">
      <c r="A70" t="s">
        <v>71</v>
      </c>
      <c r="B70">
        <v>7</v>
      </c>
      <c r="C70">
        <v>51</v>
      </c>
      <c r="D70" t="str">
        <f t="shared" si="1"/>
        <v>Revisar</v>
      </c>
    </row>
    <row r="71" spans="1:4" x14ac:dyDescent="0.35">
      <c r="A71" t="s">
        <v>72</v>
      </c>
      <c r="B71">
        <v>4</v>
      </c>
      <c r="C71">
        <v>78</v>
      </c>
      <c r="D71" t="str">
        <f t="shared" si="1"/>
        <v>Elegível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8ABBD-CB8F-4B23-844F-0B557217BD26}">
  <dimension ref="A1:C11"/>
  <sheetViews>
    <sheetView workbookViewId="0">
      <selection sqref="A1:C11"/>
    </sheetView>
  </sheetViews>
  <sheetFormatPr defaultRowHeight="14.5" x14ac:dyDescent="0.35"/>
  <sheetData>
    <row r="1" spans="1:3" x14ac:dyDescent="0.35">
      <c r="A1" s="1" t="s">
        <v>73</v>
      </c>
      <c r="B1" s="1" t="s">
        <v>74</v>
      </c>
      <c r="C1" s="2" t="s">
        <v>75</v>
      </c>
    </row>
    <row r="2" spans="1:3" x14ac:dyDescent="0.35">
      <c r="A2" t="s">
        <v>4</v>
      </c>
      <c r="B2" t="s">
        <v>76</v>
      </c>
      <c r="C2" t="s">
        <v>81</v>
      </c>
    </row>
    <row r="3" spans="1:3" x14ac:dyDescent="0.35">
      <c r="A3" t="s">
        <v>5</v>
      </c>
      <c r="B3" t="s">
        <v>77</v>
      </c>
      <c r="C3" t="s">
        <v>82</v>
      </c>
    </row>
    <row r="4" spans="1:3" x14ac:dyDescent="0.35">
      <c r="A4" t="s">
        <v>6</v>
      </c>
      <c r="B4" t="s">
        <v>78</v>
      </c>
      <c r="C4" t="s">
        <v>83</v>
      </c>
    </row>
    <row r="5" spans="1:3" x14ac:dyDescent="0.35">
      <c r="A5" t="s">
        <v>7</v>
      </c>
      <c r="B5" t="s">
        <v>76</v>
      </c>
      <c r="C5" t="s">
        <v>81</v>
      </c>
    </row>
    <row r="6" spans="1:3" x14ac:dyDescent="0.35">
      <c r="A6" t="s">
        <v>8</v>
      </c>
      <c r="B6" t="s">
        <v>79</v>
      </c>
      <c r="C6" t="s">
        <v>84</v>
      </c>
    </row>
    <row r="7" spans="1:3" x14ac:dyDescent="0.35">
      <c r="A7" t="s">
        <v>9</v>
      </c>
      <c r="B7" t="s">
        <v>77</v>
      </c>
      <c r="C7" t="s">
        <v>82</v>
      </c>
    </row>
    <row r="8" spans="1:3" x14ac:dyDescent="0.35">
      <c r="A8" t="s">
        <v>10</v>
      </c>
      <c r="B8" t="s">
        <v>78</v>
      </c>
      <c r="C8" t="s">
        <v>83</v>
      </c>
    </row>
    <row r="9" spans="1:3" x14ac:dyDescent="0.35">
      <c r="A9" t="s">
        <v>11</v>
      </c>
      <c r="B9" t="s">
        <v>79</v>
      </c>
      <c r="C9" t="s">
        <v>84</v>
      </c>
    </row>
    <row r="10" spans="1:3" x14ac:dyDescent="0.35">
      <c r="A10" t="s">
        <v>12</v>
      </c>
      <c r="B10" t="s">
        <v>76</v>
      </c>
      <c r="C10" t="s">
        <v>81</v>
      </c>
    </row>
    <row r="11" spans="1:3" x14ac:dyDescent="0.35">
      <c r="A11" t="s">
        <v>13</v>
      </c>
      <c r="B11" t="s">
        <v>78</v>
      </c>
      <c r="C11" t="s">
        <v>83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35ABC-2E41-4180-B771-0A3C764408B2}">
  <dimension ref="A1:B5"/>
  <sheetViews>
    <sheetView workbookViewId="0">
      <selection sqref="A1:B5"/>
    </sheetView>
  </sheetViews>
  <sheetFormatPr defaultRowHeight="14.5" x14ac:dyDescent="0.35"/>
  <sheetData>
    <row r="1" spans="1:2" x14ac:dyDescent="0.35">
      <c r="A1" s="3" t="s">
        <v>74</v>
      </c>
      <c r="B1" s="3" t="s">
        <v>80</v>
      </c>
    </row>
    <row r="2" spans="1:2" x14ac:dyDescent="0.35">
      <c r="A2" t="s">
        <v>76</v>
      </c>
      <c r="B2" t="s">
        <v>81</v>
      </c>
    </row>
    <row r="3" spans="1:2" x14ac:dyDescent="0.35">
      <c r="A3" t="s">
        <v>77</v>
      </c>
      <c r="B3" t="s">
        <v>82</v>
      </c>
    </row>
    <row r="4" spans="1:2" x14ac:dyDescent="0.35">
      <c r="A4" t="s">
        <v>78</v>
      </c>
      <c r="B4" t="s">
        <v>83</v>
      </c>
    </row>
    <row r="5" spans="1:2" x14ac:dyDescent="0.35">
      <c r="A5" t="s">
        <v>79</v>
      </c>
      <c r="B5" t="s">
        <v>84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D6F40-C4FE-4256-BF92-DEFCFE16439E}">
  <dimension ref="A1:E11"/>
  <sheetViews>
    <sheetView workbookViewId="0">
      <selection sqref="A1:E11"/>
    </sheetView>
  </sheetViews>
  <sheetFormatPr defaultRowHeight="14.5" x14ac:dyDescent="0.35"/>
  <sheetData>
    <row r="1" spans="1:5" x14ac:dyDescent="0.35">
      <c r="A1" s="1" t="s">
        <v>73</v>
      </c>
      <c r="B1" s="1" t="s">
        <v>85</v>
      </c>
      <c r="C1" s="1" t="s">
        <v>86</v>
      </c>
      <c r="D1" s="1" t="s">
        <v>87</v>
      </c>
      <c r="E1" s="1" t="s">
        <v>88</v>
      </c>
    </row>
    <row r="2" spans="1:5" x14ac:dyDescent="0.35">
      <c r="A2" t="s">
        <v>4</v>
      </c>
      <c r="B2" s="4" t="s">
        <v>89</v>
      </c>
      <c r="C2" t="s">
        <v>90</v>
      </c>
      <c r="D2">
        <f ca="1">NETWORKDAYS(B2,TODAY())</f>
        <v>2908</v>
      </c>
      <c r="E2">
        <f ca="1">DATEDIF(C2,TODAY(),"Y")</f>
        <v>41</v>
      </c>
    </row>
    <row r="3" spans="1:5" x14ac:dyDescent="0.35">
      <c r="A3" t="s">
        <v>5</v>
      </c>
      <c r="B3" s="5" t="s">
        <v>91</v>
      </c>
      <c r="C3" t="s">
        <v>92</v>
      </c>
      <c r="D3">
        <f t="shared" ref="D3:D11" ca="1" si="0">NETWORKDAYS(B3,TODAY())</f>
        <v>2028</v>
      </c>
      <c r="E3">
        <f t="shared" ref="E3:E11" ca="1" si="1">DATEDIF(C3,TODAY(),"Y")</f>
        <v>35</v>
      </c>
    </row>
    <row r="4" spans="1:5" x14ac:dyDescent="0.35">
      <c r="A4" t="s">
        <v>6</v>
      </c>
      <c r="B4" s="5" t="s">
        <v>93</v>
      </c>
      <c r="C4" t="s">
        <v>94</v>
      </c>
      <c r="D4">
        <f t="shared" ca="1" si="0"/>
        <v>1639</v>
      </c>
      <c r="E4">
        <f t="shared" ca="1" si="1"/>
        <v>44</v>
      </c>
    </row>
    <row r="5" spans="1:5" x14ac:dyDescent="0.35">
      <c r="A5" t="s">
        <v>7</v>
      </c>
      <c r="B5" s="5" t="s">
        <v>95</v>
      </c>
      <c r="C5" t="s">
        <v>96</v>
      </c>
      <c r="D5">
        <f t="shared" ca="1" si="0"/>
        <v>3633</v>
      </c>
      <c r="E5">
        <f t="shared" ca="1" si="1"/>
        <v>30</v>
      </c>
    </row>
    <row r="6" spans="1:5" x14ac:dyDescent="0.35">
      <c r="A6" t="s">
        <v>8</v>
      </c>
      <c r="B6" s="5" t="s">
        <v>97</v>
      </c>
      <c r="C6" t="s">
        <v>98</v>
      </c>
      <c r="D6">
        <f t="shared" ca="1" si="0"/>
        <v>1687</v>
      </c>
      <c r="E6">
        <f t="shared" ca="1" si="1"/>
        <v>37</v>
      </c>
    </row>
    <row r="7" spans="1:5" x14ac:dyDescent="0.35">
      <c r="A7" t="s">
        <v>9</v>
      </c>
      <c r="B7" s="5" t="s">
        <v>99</v>
      </c>
      <c r="C7" t="s">
        <v>100</v>
      </c>
      <c r="D7">
        <f t="shared" ca="1" si="0"/>
        <v>2517</v>
      </c>
      <c r="E7">
        <f t="shared" ca="1" si="1"/>
        <v>33</v>
      </c>
    </row>
    <row r="8" spans="1:5" x14ac:dyDescent="0.35">
      <c r="A8" t="s">
        <v>10</v>
      </c>
      <c r="B8" s="5" t="s">
        <v>101</v>
      </c>
      <c r="C8" t="s">
        <v>102</v>
      </c>
      <c r="D8">
        <f t="shared" ca="1" si="0"/>
        <v>2973</v>
      </c>
      <c r="E8">
        <f t="shared" ca="1" si="1"/>
        <v>45</v>
      </c>
    </row>
    <row r="9" spans="1:5" x14ac:dyDescent="0.35">
      <c r="A9" t="s">
        <v>11</v>
      </c>
      <c r="B9" s="5" t="s">
        <v>103</v>
      </c>
      <c r="C9" t="s">
        <v>104</v>
      </c>
      <c r="D9">
        <f t="shared" ca="1" si="0"/>
        <v>2313</v>
      </c>
      <c r="E9">
        <f t="shared" ca="1" si="1"/>
        <v>38</v>
      </c>
    </row>
    <row r="10" spans="1:5" x14ac:dyDescent="0.35">
      <c r="A10" t="s">
        <v>12</v>
      </c>
      <c r="B10" s="5" t="s">
        <v>105</v>
      </c>
      <c r="C10" t="s">
        <v>106</v>
      </c>
      <c r="D10">
        <f t="shared" ca="1" si="0"/>
        <v>1310</v>
      </c>
      <c r="E10">
        <f t="shared" ca="1" si="1"/>
        <v>30</v>
      </c>
    </row>
    <row r="11" spans="1:5" x14ac:dyDescent="0.35">
      <c r="A11" t="s">
        <v>13</v>
      </c>
      <c r="B11" s="5" t="s">
        <v>107</v>
      </c>
      <c r="C11" t="s">
        <v>108</v>
      </c>
      <c r="D11">
        <f t="shared" ca="1" si="0"/>
        <v>3298</v>
      </c>
      <c r="E11">
        <f t="shared" ca="1" si="1"/>
        <v>41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58450-19C8-469E-9A4F-02D32AB12360}">
  <dimension ref="A1:F12"/>
  <sheetViews>
    <sheetView workbookViewId="0">
      <selection activeCell="F16" sqref="F16"/>
    </sheetView>
  </sheetViews>
  <sheetFormatPr defaultRowHeight="14.5" x14ac:dyDescent="0.35"/>
  <sheetData>
    <row r="1" spans="1:6" x14ac:dyDescent="0.35">
      <c r="A1" s="1" t="s">
        <v>73</v>
      </c>
      <c r="B1" s="1" t="s">
        <v>109</v>
      </c>
      <c r="C1" s="1" t="s">
        <v>110</v>
      </c>
      <c r="D1" s="1" t="s">
        <v>2</v>
      </c>
      <c r="E1" s="1" t="s">
        <v>111</v>
      </c>
      <c r="F1" s="1" t="s">
        <v>112</v>
      </c>
    </row>
    <row r="2" spans="1:6" x14ac:dyDescent="0.35">
      <c r="A2" t="s">
        <v>4</v>
      </c>
      <c r="B2">
        <v>17</v>
      </c>
      <c r="C2">
        <v>50</v>
      </c>
      <c r="D2">
        <v>85</v>
      </c>
      <c r="E2">
        <f t="shared" ref="E2:E11" si="0">B2*C2</f>
        <v>850</v>
      </c>
      <c r="F2">
        <f>SUMIF(D2:D11,"&gt;80",E2:E11)</f>
        <v>5805</v>
      </c>
    </row>
    <row r="3" spans="1:6" x14ac:dyDescent="0.35">
      <c r="A3" t="s">
        <v>5</v>
      </c>
      <c r="B3">
        <v>16</v>
      </c>
      <c r="C3">
        <v>70</v>
      </c>
      <c r="D3">
        <v>78</v>
      </c>
      <c r="E3">
        <f t="shared" si="0"/>
        <v>1120</v>
      </c>
      <c r="F3" s="1" t="s">
        <v>113</v>
      </c>
    </row>
    <row r="4" spans="1:6" x14ac:dyDescent="0.35">
      <c r="A4" t="s">
        <v>6</v>
      </c>
      <c r="B4">
        <v>14</v>
      </c>
      <c r="C4">
        <v>60</v>
      </c>
      <c r="D4">
        <v>92</v>
      </c>
      <c r="E4">
        <f t="shared" si="0"/>
        <v>840</v>
      </c>
      <c r="F4">
        <f>SUMPRODUCT(B2:B11,C2:C11)</f>
        <v>9665</v>
      </c>
    </row>
    <row r="5" spans="1:6" x14ac:dyDescent="0.35">
      <c r="A5" t="s">
        <v>7</v>
      </c>
      <c r="B5">
        <v>20</v>
      </c>
      <c r="C5">
        <v>55</v>
      </c>
      <c r="D5">
        <v>88</v>
      </c>
      <c r="E5">
        <f t="shared" si="0"/>
        <v>1100</v>
      </c>
    </row>
    <row r="6" spans="1:6" x14ac:dyDescent="0.35">
      <c r="A6" t="s">
        <v>8</v>
      </c>
      <c r="B6">
        <v>18</v>
      </c>
      <c r="C6">
        <v>50</v>
      </c>
      <c r="D6">
        <v>80</v>
      </c>
      <c r="E6">
        <f t="shared" si="0"/>
        <v>900</v>
      </c>
    </row>
    <row r="7" spans="1:6" x14ac:dyDescent="0.35">
      <c r="A7" t="s">
        <v>9</v>
      </c>
      <c r="B7">
        <v>11</v>
      </c>
      <c r="C7">
        <v>65</v>
      </c>
      <c r="D7">
        <v>95</v>
      </c>
      <c r="E7">
        <f t="shared" si="0"/>
        <v>715</v>
      </c>
    </row>
    <row r="8" spans="1:6" x14ac:dyDescent="0.35">
      <c r="A8" t="s">
        <v>10</v>
      </c>
      <c r="B8">
        <v>17</v>
      </c>
      <c r="C8">
        <v>70</v>
      </c>
      <c r="D8">
        <v>70</v>
      </c>
      <c r="E8">
        <f t="shared" si="0"/>
        <v>1190</v>
      </c>
    </row>
    <row r="9" spans="1:6" x14ac:dyDescent="0.35">
      <c r="A9" t="s">
        <v>11</v>
      </c>
      <c r="B9">
        <v>20</v>
      </c>
      <c r="C9">
        <v>60</v>
      </c>
      <c r="D9">
        <v>90</v>
      </c>
      <c r="E9">
        <f t="shared" si="0"/>
        <v>1200</v>
      </c>
    </row>
    <row r="10" spans="1:6" x14ac:dyDescent="0.35">
      <c r="A10" t="s">
        <v>12</v>
      </c>
      <c r="B10">
        <v>20</v>
      </c>
      <c r="C10">
        <v>55</v>
      </c>
      <c r="D10">
        <v>87</v>
      </c>
      <c r="E10">
        <f t="shared" si="0"/>
        <v>1100</v>
      </c>
    </row>
    <row r="11" spans="1:6" x14ac:dyDescent="0.35">
      <c r="A11" t="s">
        <v>13</v>
      </c>
      <c r="B11">
        <v>13</v>
      </c>
      <c r="C11">
        <v>50</v>
      </c>
      <c r="D11">
        <v>75</v>
      </c>
      <c r="E11">
        <f t="shared" si="0"/>
        <v>650</v>
      </c>
    </row>
    <row r="12" spans="1:6" x14ac:dyDescent="0.35">
      <c r="E12">
        <f>SUM(E2:E11)</f>
        <v>9665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0674B-0A94-4785-A610-169512D38779}">
  <dimension ref="A1:G121"/>
  <sheetViews>
    <sheetView workbookViewId="0">
      <selection sqref="A1:G121"/>
    </sheetView>
  </sheetViews>
  <sheetFormatPr defaultRowHeight="14.5" x14ac:dyDescent="0.35"/>
  <sheetData>
    <row r="1" spans="1:7" x14ac:dyDescent="0.35">
      <c r="A1" t="s">
        <v>73</v>
      </c>
      <c r="B1" t="s">
        <v>114</v>
      </c>
      <c r="C1" t="s">
        <v>109</v>
      </c>
      <c r="D1" t="s">
        <v>110</v>
      </c>
      <c r="E1" t="s">
        <v>2</v>
      </c>
      <c r="F1" t="s">
        <v>115</v>
      </c>
      <c r="G1" t="s">
        <v>111</v>
      </c>
    </row>
    <row r="2" spans="1:7" x14ac:dyDescent="0.35">
      <c r="A2" t="s">
        <v>4</v>
      </c>
      <c r="B2" t="s">
        <v>116</v>
      </c>
      <c r="C2">
        <v>20</v>
      </c>
      <c r="D2">
        <v>50</v>
      </c>
      <c r="E2">
        <v>85</v>
      </c>
      <c r="F2">
        <v>3</v>
      </c>
      <c r="G2">
        <f t="shared" ref="G2:G65" si="0">C2*D2</f>
        <v>1000</v>
      </c>
    </row>
    <row r="3" spans="1:7" x14ac:dyDescent="0.35">
      <c r="A3" t="s">
        <v>4</v>
      </c>
      <c r="B3" t="s">
        <v>117</v>
      </c>
      <c r="C3">
        <v>22</v>
      </c>
      <c r="D3">
        <v>70</v>
      </c>
      <c r="E3">
        <v>78</v>
      </c>
      <c r="F3">
        <v>7</v>
      </c>
      <c r="G3">
        <f t="shared" si="0"/>
        <v>1540</v>
      </c>
    </row>
    <row r="4" spans="1:7" x14ac:dyDescent="0.35">
      <c r="A4" t="s">
        <v>4</v>
      </c>
      <c r="B4" t="s">
        <v>118</v>
      </c>
      <c r="C4">
        <v>18</v>
      </c>
      <c r="D4">
        <v>60</v>
      </c>
      <c r="E4">
        <v>92</v>
      </c>
      <c r="F4">
        <v>5</v>
      </c>
      <c r="G4">
        <f t="shared" si="0"/>
        <v>1080</v>
      </c>
    </row>
    <row r="5" spans="1:7" x14ac:dyDescent="0.35">
      <c r="A5" t="s">
        <v>4</v>
      </c>
      <c r="B5" t="s">
        <v>119</v>
      </c>
      <c r="C5">
        <v>25</v>
      </c>
      <c r="D5">
        <v>55</v>
      </c>
      <c r="E5">
        <v>88</v>
      </c>
      <c r="F5">
        <v>2</v>
      </c>
      <c r="G5">
        <f t="shared" si="0"/>
        <v>1375</v>
      </c>
    </row>
    <row r="6" spans="1:7" x14ac:dyDescent="0.35">
      <c r="A6" t="s">
        <v>4</v>
      </c>
      <c r="B6" t="s">
        <v>120</v>
      </c>
      <c r="C6">
        <v>20</v>
      </c>
      <c r="D6">
        <v>50</v>
      </c>
      <c r="E6">
        <v>80</v>
      </c>
      <c r="F6">
        <v>6</v>
      </c>
      <c r="G6">
        <f t="shared" si="0"/>
        <v>1000</v>
      </c>
    </row>
    <row r="7" spans="1:7" x14ac:dyDescent="0.35">
      <c r="A7" t="s">
        <v>4</v>
      </c>
      <c r="B7" t="s">
        <v>121</v>
      </c>
      <c r="C7">
        <v>19</v>
      </c>
      <c r="D7">
        <v>65</v>
      </c>
      <c r="E7">
        <v>95</v>
      </c>
      <c r="F7">
        <v>4</v>
      </c>
      <c r="G7">
        <f t="shared" si="0"/>
        <v>1235</v>
      </c>
    </row>
    <row r="8" spans="1:7" x14ac:dyDescent="0.35">
      <c r="A8" t="s">
        <v>4</v>
      </c>
      <c r="B8" t="s">
        <v>122</v>
      </c>
      <c r="C8">
        <v>21</v>
      </c>
      <c r="D8">
        <v>70</v>
      </c>
      <c r="E8">
        <v>70</v>
      </c>
      <c r="F8">
        <v>10</v>
      </c>
      <c r="G8">
        <f t="shared" si="0"/>
        <v>1470</v>
      </c>
    </row>
    <row r="9" spans="1:7" x14ac:dyDescent="0.35">
      <c r="A9" t="s">
        <v>4</v>
      </c>
      <c r="B9" t="s">
        <v>123</v>
      </c>
      <c r="C9">
        <v>24</v>
      </c>
      <c r="D9">
        <v>60</v>
      </c>
      <c r="E9">
        <v>90</v>
      </c>
      <c r="F9">
        <v>5</v>
      </c>
      <c r="G9">
        <f t="shared" si="0"/>
        <v>1440</v>
      </c>
    </row>
    <row r="10" spans="1:7" x14ac:dyDescent="0.35">
      <c r="A10" t="s">
        <v>4</v>
      </c>
      <c r="B10" t="s">
        <v>124</v>
      </c>
      <c r="C10">
        <v>20</v>
      </c>
      <c r="D10">
        <v>55</v>
      </c>
      <c r="E10">
        <v>87</v>
      </c>
      <c r="F10">
        <v>8</v>
      </c>
      <c r="G10">
        <f t="shared" si="0"/>
        <v>1100</v>
      </c>
    </row>
    <row r="11" spans="1:7" x14ac:dyDescent="0.35">
      <c r="A11" t="s">
        <v>4</v>
      </c>
      <c r="B11" t="s">
        <v>125</v>
      </c>
      <c r="C11">
        <v>23</v>
      </c>
      <c r="D11">
        <v>50</v>
      </c>
      <c r="E11">
        <v>75</v>
      </c>
      <c r="F11">
        <v>3</v>
      </c>
      <c r="G11">
        <f t="shared" si="0"/>
        <v>1150</v>
      </c>
    </row>
    <row r="12" spans="1:7" x14ac:dyDescent="0.35">
      <c r="A12" t="s">
        <v>4</v>
      </c>
      <c r="B12" t="s">
        <v>126</v>
      </c>
      <c r="C12">
        <v>22</v>
      </c>
      <c r="D12">
        <v>75</v>
      </c>
      <c r="E12">
        <v>85</v>
      </c>
      <c r="F12">
        <v>6</v>
      </c>
      <c r="G12">
        <f t="shared" si="0"/>
        <v>1650</v>
      </c>
    </row>
    <row r="13" spans="1:7" x14ac:dyDescent="0.35">
      <c r="A13" t="s">
        <v>4</v>
      </c>
      <c r="B13" t="s">
        <v>127</v>
      </c>
      <c r="C13">
        <v>21</v>
      </c>
      <c r="D13">
        <v>80</v>
      </c>
      <c r="E13">
        <v>82</v>
      </c>
      <c r="F13">
        <v>4</v>
      </c>
      <c r="G13">
        <f t="shared" si="0"/>
        <v>1680</v>
      </c>
    </row>
    <row r="14" spans="1:7" x14ac:dyDescent="0.35">
      <c r="A14" t="s">
        <v>5</v>
      </c>
      <c r="B14" t="s">
        <v>116</v>
      </c>
      <c r="C14">
        <v>20</v>
      </c>
      <c r="D14">
        <v>50</v>
      </c>
      <c r="E14">
        <v>85</v>
      </c>
      <c r="F14">
        <v>3</v>
      </c>
      <c r="G14">
        <f t="shared" si="0"/>
        <v>1000</v>
      </c>
    </row>
    <row r="15" spans="1:7" x14ac:dyDescent="0.35">
      <c r="A15" t="s">
        <v>5</v>
      </c>
      <c r="B15" t="s">
        <v>117</v>
      </c>
      <c r="C15">
        <v>22</v>
      </c>
      <c r="D15">
        <v>70</v>
      </c>
      <c r="E15">
        <v>78</v>
      </c>
      <c r="F15">
        <v>7</v>
      </c>
      <c r="G15">
        <f t="shared" si="0"/>
        <v>1540</v>
      </c>
    </row>
    <row r="16" spans="1:7" x14ac:dyDescent="0.35">
      <c r="A16" t="s">
        <v>5</v>
      </c>
      <c r="B16" t="s">
        <v>118</v>
      </c>
      <c r="C16">
        <v>18</v>
      </c>
      <c r="D16">
        <v>60</v>
      </c>
      <c r="E16">
        <v>92</v>
      </c>
      <c r="F16">
        <v>5</v>
      </c>
      <c r="G16">
        <f t="shared" si="0"/>
        <v>1080</v>
      </c>
    </row>
    <row r="17" spans="1:7" x14ac:dyDescent="0.35">
      <c r="A17" t="s">
        <v>5</v>
      </c>
      <c r="B17" t="s">
        <v>119</v>
      </c>
      <c r="C17">
        <v>25</v>
      </c>
      <c r="D17">
        <v>55</v>
      </c>
      <c r="E17">
        <v>88</v>
      </c>
      <c r="F17">
        <v>2</v>
      </c>
      <c r="G17">
        <f t="shared" si="0"/>
        <v>1375</v>
      </c>
    </row>
    <row r="18" spans="1:7" x14ac:dyDescent="0.35">
      <c r="A18" t="s">
        <v>5</v>
      </c>
      <c r="B18" t="s">
        <v>120</v>
      </c>
      <c r="C18">
        <v>20</v>
      </c>
      <c r="D18">
        <v>50</v>
      </c>
      <c r="E18">
        <v>80</v>
      </c>
      <c r="F18">
        <v>6</v>
      </c>
      <c r="G18">
        <f t="shared" si="0"/>
        <v>1000</v>
      </c>
    </row>
    <row r="19" spans="1:7" x14ac:dyDescent="0.35">
      <c r="A19" t="s">
        <v>5</v>
      </c>
      <c r="B19" t="s">
        <v>121</v>
      </c>
      <c r="C19">
        <v>19</v>
      </c>
      <c r="D19">
        <v>65</v>
      </c>
      <c r="E19">
        <v>95</v>
      </c>
      <c r="F19">
        <v>4</v>
      </c>
      <c r="G19">
        <f t="shared" si="0"/>
        <v>1235</v>
      </c>
    </row>
    <row r="20" spans="1:7" x14ac:dyDescent="0.35">
      <c r="A20" t="s">
        <v>5</v>
      </c>
      <c r="B20" t="s">
        <v>122</v>
      </c>
      <c r="C20">
        <v>21</v>
      </c>
      <c r="D20">
        <v>70</v>
      </c>
      <c r="E20">
        <v>70</v>
      </c>
      <c r="F20">
        <v>10</v>
      </c>
      <c r="G20">
        <f t="shared" si="0"/>
        <v>1470</v>
      </c>
    </row>
    <row r="21" spans="1:7" x14ac:dyDescent="0.35">
      <c r="A21" t="s">
        <v>5</v>
      </c>
      <c r="B21" t="s">
        <v>123</v>
      </c>
      <c r="C21">
        <v>24</v>
      </c>
      <c r="D21">
        <v>60</v>
      </c>
      <c r="E21">
        <v>90</v>
      </c>
      <c r="F21">
        <v>5</v>
      </c>
      <c r="G21">
        <f t="shared" si="0"/>
        <v>1440</v>
      </c>
    </row>
    <row r="22" spans="1:7" x14ac:dyDescent="0.35">
      <c r="A22" t="s">
        <v>5</v>
      </c>
      <c r="B22" t="s">
        <v>124</v>
      </c>
      <c r="C22">
        <v>20</v>
      </c>
      <c r="D22">
        <v>55</v>
      </c>
      <c r="E22">
        <v>87</v>
      </c>
      <c r="F22">
        <v>8</v>
      </c>
      <c r="G22">
        <f t="shared" si="0"/>
        <v>1100</v>
      </c>
    </row>
    <row r="23" spans="1:7" x14ac:dyDescent="0.35">
      <c r="A23" t="s">
        <v>5</v>
      </c>
      <c r="B23" t="s">
        <v>125</v>
      </c>
      <c r="C23">
        <v>23</v>
      </c>
      <c r="D23">
        <v>50</v>
      </c>
      <c r="E23">
        <v>75</v>
      </c>
      <c r="F23">
        <v>3</v>
      </c>
      <c r="G23">
        <f t="shared" si="0"/>
        <v>1150</v>
      </c>
    </row>
    <row r="24" spans="1:7" x14ac:dyDescent="0.35">
      <c r="A24" t="s">
        <v>5</v>
      </c>
      <c r="B24" t="s">
        <v>126</v>
      </c>
      <c r="C24">
        <v>22</v>
      </c>
      <c r="D24">
        <v>75</v>
      </c>
      <c r="E24">
        <v>85</v>
      </c>
      <c r="F24">
        <v>6</v>
      </c>
      <c r="G24">
        <f t="shared" si="0"/>
        <v>1650</v>
      </c>
    </row>
    <row r="25" spans="1:7" x14ac:dyDescent="0.35">
      <c r="A25" t="s">
        <v>5</v>
      </c>
      <c r="B25" t="s">
        <v>127</v>
      </c>
      <c r="C25">
        <v>21</v>
      </c>
      <c r="D25">
        <v>80</v>
      </c>
      <c r="E25">
        <v>82</v>
      </c>
      <c r="F25">
        <v>4</v>
      </c>
      <c r="G25">
        <f t="shared" si="0"/>
        <v>1680</v>
      </c>
    </row>
    <row r="26" spans="1:7" x14ac:dyDescent="0.35">
      <c r="A26" t="s">
        <v>6</v>
      </c>
      <c r="B26" t="s">
        <v>116</v>
      </c>
      <c r="C26">
        <v>20</v>
      </c>
      <c r="D26">
        <v>50</v>
      </c>
      <c r="E26">
        <v>85</v>
      </c>
      <c r="F26">
        <v>3</v>
      </c>
      <c r="G26">
        <f t="shared" si="0"/>
        <v>1000</v>
      </c>
    </row>
    <row r="27" spans="1:7" x14ac:dyDescent="0.35">
      <c r="A27" t="s">
        <v>6</v>
      </c>
      <c r="B27" t="s">
        <v>117</v>
      </c>
      <c r="C27">
        <v>22</v>
      </c>
      <c r="D27">
        <v>70</v>
      </c>
      <c r="E27">
        <v>78</v>
      </c>
      <c r="F27">
        <v>7</v>
      </c>
      <c r="G27">
        <f t="shared" si="0"/>
        <v>1540</v>
      </c>
    </row>
    <row r="28" spans="1:7" x14ac:dyDescent="0.35">
      <c r="A28" t="s">
        <v>6</v>
      </c>
      <c r="B28" t="s">
        <v>118</v>
      </c>
      <c r="C28">
        <v>18</v>
      </c>
      <c r="D28">
        <v>60</v>
      </c>
      <c r="E28">
        <v>92</v>
      </c>
      <c r="F28">
        <v>5</v>
      </c>
      <c r="G28">
        <f t="shared" si="0"/>
        <v>1080</v>
      </c>
    </row>
    <row r="29" spans="1:7" x14ac:dyDescent="0.35">
      <c r="A29" t="s">
        <v>6</v>
      </c>
      <c r="B29" t="s">
        <v>119</v>
      </c>
      <c r="C29">
        <v>25</v>
      </c>
      <c r="D29">
        <v>55</v>
      </c>
      <c r="E29">
        <v>88</v>
      </c>
      <c r="F29">
        <v>2</v>
      </c>
      <c r="G29">
        <f t="shared" si="0"/>
        <v>1375</v>
      </c>
    </row>
    <row r="30" spans="1:7" x14ac:dyDescent="0.35">
      <c r="A30" t="s">
        <v>6</v>
      </c>
      <c r="B30" t="s">
        <v>120</v>
      </c>
      <c r="C30">
        <v>20</v>
      </c>
      <c r="D30">
        <v>50</v>
      </c>
      <c r="E30">
        <v>80</v>
      </c>
      <c r="F30">
        <v>6</v>
      </c>
      <c r="G30">
        <f t="shared" si="0"/>
        <v>1000</v>
      </c>
    </row>
    <row r="31" spans="1:7" x14ac:dyDescent="0.35">
      <c r="A31" t="s">
        <v>6</v>
      </c>
      <c r="B31" t="s">
        <v>121</v>
      </c>
      <c r="C31">
        <v>19</v>
      </c>
      <c r="D31">
        <v>65</v>
      </c>
      <c r="E31">
        <v>95</v>
      </c>
      <c r="F31">
        <v>4</v>
      </c>
      <c r="G31">
        <f t="shared" si="0"/>
        <v>1235</v>
      </c>
    </row>
    <row r="32" spans="1:7" x14ac:dyDescent="0.35">
      <c r="A32" t="s">
        <v>6</v>
      </c>
      <c r="B32" t="s">
        <v>122</v>
      </c>
      <c r="C32">
        <v>21</v>
      </c>
      <c r="D32">
        <v>70</v>
      </c>
      <c r="E32">
        <v>70</v>
      </c>
      <c r="F32">
        <v>10</v>
      </c>
      <c r="G32">
        <f t="shared" si="0"/>
        <v>1470</v>
      </c>
    </row>
    <row r="33" spans="1:7" x14ac:dyDescent="0.35">
      <c r="A33" t="s">
        <v>6</v>
      </c>
      <c r="B33" t="s">
        <v>123</v>
      </c>
      <c r="C33">
        <v>24</v>
      </c>
      <c r="D33">
        <v>60</v>
      </c>
      <c r="E33">
        <v>90</v>
      </c>
      <c r="F33">
        <v>5</v>
      </c>
      <c r="G33">
        <f t="shared" si="0"/>
        <v>1440</v>
      </c>
    </row>
    <row r="34" spans="1:7" x14ac:dyDescent="0.35">
      <c r="A34" t="s">
        <v>6</v>
      </c>
      <c r="B34" t="s">
        <v>124</v>
      </c>
      <c r="C34">
        <v>20</v>
      </c>
      <c r="D34">
        <v>55</v>
      </c>
      <c r="E34">
        <v>87</v>
      </c>
      <c r="F34">
        <v>8</v>
      </c>
      <c r="G34">
        <f t="shared" si="0"/>
        <v>1100</v>
      </c>
    </row>
    <row r="35" spans="1:7" x14ac:dyDescent="0.35">
      <c r="A35" t="s">
        <v>6</v>
      </c>
      <c r="B35" t="s">
        <v>125</v>
      </c>
      <c r="C35">
        <v>23</v>
      </c>
      <c r="D35">
        <v>50</v>
      </c>
      <c r="E35">
        <v>75</v>
      </c>
      <c r="F35">
        <v>3</v>
      </c>
      <c r="G35">
        <f t="shared" si="0"/>
        <v>1150</v>
      </c>
    </row>
    <row r="36" spans="1:7" x14ac:dyDescent="0.35">
      <c r="A36" t="s">
        <v>6</v>
      </c>
      <c r="B36" t="s">
        <v>126</v>
      </c>
      <c r="C36">
        <v>22</v>
      </c>
      <c r="D36">
        <v>75</v>
      </c>
      <c r="E36">
        <v>85</v>
      </c>
      <c r="F36">
        <v>6</v>
      </c>
      <c r="G36">
        <f t="shared" si="0"/>
        <v>1650</v>
      </c>
    </row>
    <row r="37" spans="1:7" x14ac:dyDescent="0.35">
      <c r="A37" t="s">
        <v>6</v>
      </c>
      <c r="B37" t="s">
        <v>127</v>
      </c>
      <c r="C37">
        <v>21</v>
      </c>
      <c r="D37">
        <v>80</v>
      </c>
      <c r="E37">
        <v>82</v>
      </c>
      <c r="F37">
        <v>4</v>
      </c>
      <c r="G37">
        <f t="shared" si="0"/>
        <v>1680</v>
      </c>
    </row>
    <row r="38" spans="1:7" x14ac:dyDescent="0.35">
      <c r="A38" t="s">
        <v>7</v>
      </c>
      <c r="B38" t="s">
        <v>116</v>
      </c>
      <c r="C38">
        <v>20</v>
      </c>
      <c r="D38">
        <v>50</v>
      </c>
      <c r="E38">
        <v>85</v>
      </c>
      <c r="F38">
        <v>3</v>
      </c>
      <c r="G38">
        <f t="shared" si="0"/>
        <v>1000</v>
      </c>
    </row>
    <row r="39" spans="1:7" x14ac:dyDescent="0.35">
      <c r="A39" t="s">
        <v>7</v>
      </c>
      <c r="B39" t="s">
        <v>117</v>
      </c>
      <c r="C39">
        <v>22</v>
      </c>
      <c r="D39">
        <v>70</v>
      </c>
      <c r="E39">
        <v>78</v>
      </c>
      <c r="F39">
        <v>7</v>
      </c>
      <c r="G39">
        <f t="shared" si="0"/>
        <v>1540</v>
      </c>
    </row>
    <row r="40" spans="1:7" x14ac:dyDescent="0.35">
      <c r="A40" t="s">
        <v>7</v>
      </c>
      <c r="B40" t="s">
        <v>118</v>
      </c>
      <c r="C40">
        <v>18</v>
      </c>
      <c r="D40">
        <v>60</v>
      </c>
      <c r="E40">
        <v>92</v>
      </c>
      <c r="F40">
        <v>5</v>
      </c>
      <c r="G40">
        <f t="shared" si="0"/>
        <v>1080</v>
      </c>
    </row>
    <row r="41" spans="1:7" x14ac:dyDescent="0.35">
      <c r="A41" t="s">
        <v>7</v>
      </c>
      <c r="B41" t="s">
        <v>119</v>
      </c>
      <c r="C41">
        <v>25</v>
      </c>
      <c r="D41">
        <v>55</v>
      </c>
      <c r="E41">
        <v>88</v>
      </c>
      <c r="F41">
        <v>2</v>
      </c>
      <c r="G41">
        <f t="shared" si="0"/>
        <v>1375</v>
      </c>
    </row>
    <row r="42" spans="1:7" x14ac:dyDescent="0.35">
      <c r="A42" t="s">
        <v>7</v>
      </c>
      <c r="B42" t="s">
        <v>120</v>
      </c>
      <c r="C42">
        <v>20</v>
      </c>
      <c r="D42">
        <v>50</v>
      </c>
      <c r="E42">
        <v>80</v>
      </c>
      <c r="F42">
        <v>6</v>
      </c>
      <c r="G42">
        <f t="shared" si="0"/>
        <v>1000</v>
      </c>
    </row>
    <row r="43" spans="1:7" x14ac:dyDescent="0.35">
      <c r="A43" t="s">
        <v>7</v>
      </c>
      <c r="B43" t="s">
        <v>121</v>
      </c>
      <c r="C43">
        <v>19</v>
      </c>
      <c r="D43">
        <v>65</v>
      </c>
      <c r="E43">
        <v>95</v>
      </c>
      <c r="F43">
        <v>4</v>
      </c>
      <c r="G43">
        <f t="shared" si="0"/>
        <v>1235</v>
      </c>
    </row>
    <row r="44" spans="1:7" x14ac:dyDescent="0.35">
      <c r="A44" t="s">
        <v>7</v>
      </c>
      <c r="B44" t="s">
        <v>122</v>
      </c>
      <c r="C44">
        <v>21</v>
      </c>
      <c r="D44">
        <v>70</v>
      </c>
      <c r="E44">
        <v>70</v>
      </c>
      <c r="F44">
        <v>10</v>
      </c>
      <c r="G44">
        <f t="shared" si="0"/>
        <v>1470</v>
      </c>
    </row>
    <row r="45" spans="1:7" x14ac:dyDescent="0.35">
      <c r="A45" t="s">
        <v>7</v>
      </c>
      <c r="B45" t="s">
        <v>123</v>
      </c>
      <c r="C45">
        <v>24</v>
      </c>
      <c r="D45">
        <v>60</v>
      </c>
      <c r="E45">
        <v>90</v>
      </c>
      <c r="F45">
        <v>5</v>
      </c>
      <c r="G45">
        <f t="shared" si="0"/>
        <v>1440</v>
      </c>
    </row>
    <row r="46" spans="1:7" x14ac:dyDescent="0.35">
      <c r="A46" t="s">
        <v>7</v>
      </c>
      <c r="B46" t="s">
        <v>124</v>
      </c>
      <c r="C46">
        <v>20</v>
      </c>
      <c r="D46">
        <v>55</v>
      </c>
      <c r="E46">
        <v>87</v>
      </c>
      <c r="F46">
        <v>8</v>
      </c>
      <c r="G46">
        <f t="shared" si="0"/>
        <v>1100</v>
      </c>
    </row>
    <row r="47" spans="1:7" x14ac:dyDescent="0.35">
      <c r="A47" t="s">
        <v>7</v>
      </c>
      <c r="B47" t="s">
        <v>125</v>
      </c>
      <c r="C47">
        <v>23</v>
      </c>
      <c r="D47">
        <v>50</v>
      </c>
      <c r="E47">
        <v>75</v>
      </c>
      <c r="F47">
        <v>3</v>
      </c>
      <c r="G47">
        <f t="shared" si="0"/>
        <v>1150</v>
      </c>
    </row>
    <row r="48" spans="1:7" x14ac:dyDescent="0.35">
      <c r="A48" t="s">
        <v>7</v>
      </c>
      <c r="B48" t="s">
        <v>126</v>
      </c>
      <c r="C48">
        <v>22</v>
      </c>
      <c r="D48">
        <v>75</v>
      </c>
      <c r="E48">
        <v>85</v>
      </c>
      <c r="F48">
        <v>6</v>
      </c>
      <c r="G48">
        <f t="shared" si="0"/>
        <v>1650</v>
      </c>
    </row>
    <row r="49" spans="1:7" x14ac:dyDescent="0.35">
      <c r="A49" t="s">
        <v>7</v>
      </c>
      <c r="B49" t="s">
        <v>127</v>
      </c>
      <c r="C49">
        <v>21</v>
      </c>
      <c r="D49">
        <v>80</v>
      </c>
      <c r="E49">
        <v>82</v>
      </c>
      <c r="F49">
        <v>4</v>
      </c>
      <c r="G49">
        <f t="shared" si="0"/>
        <v>1680</v>
      </c>
    </row>
    <row r="50" spans="1:7" x14ac:dyDescent="0.35">
      <c r="A50" t="s">
        <v>8</v>
      </c>
      <c r="B50" t="s">
        <v>116</v>
      </c>
      <c r="C50">
        <v>20</v>
      </c>
      <c r="D50">
        <v>50</v>
      </c>
      <c r="E50">
        <v>85</v>
      </c>
      <c r="F50">
        <v>3</v>
      </c>
      <c r="G50">
        <f t="shared" si="0"/>
        <v>1000</v>
      </c>
    </row>
    <row r="51" spans="1:7" x14ac:dyDescent="0.35">
      <c r="A51" t="s">
        <v>8</v>
      </c>
      <c r="B51" t="s">
        <v>117</v>
      </c>
      <c r="C51">
        <v>22</v>
      </c>
      <c r="D51">
        <v>70</v>
      </c>
      <c r="E51">
        <v>78</v>
      </c>
      <c r="F51">
        <v>7</v>
      </c>
      <c r="G51">
        <f t="shared" si="0"/>
        <v>1540</v>
      </c>
    </row>
    <row r="52" spans="1:7" x14ac:dyDescent="0.35">
      <c r="A52" t="s">
        <v>8</v>
      </c>
      <c r="B52" t="s">
        <v>118</v>
      </c>
      <c r="C52">
        <v>18</v>
      </c>
      <c r="D52">
        <v>60</v>
      </c>
      <c r="E52">
        <v>92</v>
      </c>
      <c r="F52">
        <v>5</v>
      </c>
      <c r="G52">
        <f t="shared" si="0"/>
        <v>1080</v>
      </c>
    </row>
    <row r="53" spans="1:7" x14ac:dyDescent="0.35">
      <c r="A53" t="s">
        <v>8</v>
      </c>
      <c r="B53" t="s">
        <v>119</v>
      </c>
      <c r="C53">
        <v>25</v>
      </c>
      <c r="D53">
        <v>55</v>
      </c>
      <c r="E53">
        <v>88</v>
      </c>
      <c r="F53">
        <v>2</v>
      </c>
      <c r="G53">
        <f t="shared" si="0"/>
        <v>1375</v>
      </c>
    </row>
    <row r="54" spans="1:7" x14ac:dyDescent="0.35">
      <c r="A54" t="s">
        <v>8</v>
      </c>
      <c r="B54" t="s">
        <v>120</v>
      </c>
      <c r="C54">
        <v>20</v>
      </c>
      <c r="D54">
        <v>50</v>
      </c>
      <c r="E54">
        <v>80</v>
      </c>
      <c r="F54">
        <v>6</v>
      </c>
      <c r="G54">
        <f t="shared" si="0"/>
        <v>1000</v>
      </c>
    </row>
    <row r="55" spans="1:7" x14ac:dyDescent="0.35">
      <c r="A55" t="s">
        <v>8</v>
      </c>
      <c r="B55" t="s">
        <v>121</v>
      </c>
      <c r="C55">
        <v>19</v>
      </c>
      <c r="D55">
        <v>65</v>
      </c>
      <c r="E55">
        <v>95</v>
      </c>
      <c r="F55">
        <v>4</v>
      </c>
      <c r="G55">
        <f t="shared" si="0"/>
        <v>1235</v>
      </c>
    </row>
    <row r="56" spans="1:7" x14ac:dyDescent="0.35">
      <c r="A56" t="s">
        <v>8</v>
      </c>
      <c r="B56" t="s">
        <v>122</v>
      </c>
      <c r="C56">
        <v>21</v>
      </c>
      <c r="D56">
        <v>70</v>
      </c>
      <c r="E56">
        <v>70</v>
      </c>
      <c r="F56">
        <v>10</v>
      </c>
      <c r="G56">
        <f t="shared" si="0"/>
        <v>1470</v>
      </c>
    </row>
    <row r="57" spans="1:7" x14ac:dyDescent="0.35">
      <c r="A57" t="s">
        <v>8</v>
      </c>
      <c r="B57" t="s">
        <v>123</v>
      </c>
      <c r="C57">
        <v>24</v>
      </c>
      <c r="D57">
        <v>60</v>
      </c>
      <c r="E57">
        <v>90</v>
      </c>
      <c r="F57">
        <v>5</v>
      </c>
      <c r="G57">
        <f t="shared" si="0"/>
        <v>1440</v>
      </c>
    </row>
    <row r="58" spans="1:7" x14ac:dyDescent="0.35">
      <c r="A58" t="s">
        <v>8</v>
      </c>
      <c r="B58" t="s">
        <v>124</v>
      </c>
      <c r="C58">
        <v>20</v>
      </c>
      <c r="D58">
        <v>55</v>
      </c>
      <c r="E58">
        <v>87</v>
      </c>
      <c r="F58">
        <v>8</v>
      </c>
      <c r="G58">
        <f t="shared" si="0"/>
        <v>1100</v>
      </c>
    </row>
    <row r="59" spans="1:7" x14ac:dyDescent="0.35">
      <c r="A59" t="s">
        <v>8</v>
      </c>
      <c r="B59" t="s">
        <v>125</v>
      </c>
      <c r="C59">
        <v>23</v>
      </c>
      <c r="D59">
        <v>50</v>
      </c>
      <c r="E59">
        <v>75</v>
      </c>
      <c r="F59">
        <v>3</v>
      </c>
      <c r="G59">
        <f t="shared" si="0"/>
        <v>1150</v>
      </c>
    </row>
    <row r="60" spans="1:7" x14ac:dyDescent="0.35">
      <c r="A60" t="s">
        <v>8</v>
      </c>
      <c r="B60" t="s">
        <v>126</v>
      </c>
      <c r="C60">
        <v>22</v>
      </c>
      <c r="D60">
        <v>75</v>
      </c>
      <c r="E60">
        <v>85</v>
      </c>
      <c r="F60">
        <v>6</v>
      </c>
      <c r="G60">
        <f t="shared" si="0"/>
        <v>1650</v>
      </c>
    </row>
    <row r="61" spans="1:7" x14ac:dyDescent="0.35">
      <c r="A61" t="s">
        <v>8</v>
      </c>
      <c r="B61" t="s">
        <v>127</v>
      </c>
      <c r="C61">
        <v>21</v>
      </c>
      <c r="D61">
        <v>80</v>
      </c>
      <c r="E61">
        <v>82</v>
      </c>
      <c r="F61">
        <v>4</v>
      </c>
      <c r="G61">
        <f t="shared" si="0"/>
        <v>1680</v>
      </c>
    </row>
    <row r="62" spans="1:7" x14ac:dyDescent="0.35">
      <c r="A62" t="s">
        <v>9</v>
      </c>
      <c r="B62" t="s">
        <v>116</v>
      </c>
      <c r="C62">
        <v>20</v>
      </c>
      <c r="D62">
        <v>50</v>
      </c>
      <c r="E62">
        <v>85</v>
      </c>
      <c r="F62">
        <v>3</v>
      </c>
      <c r="G62">
        <f t="shared" si="0"/>
        <v>1000</v>
      </c>
    </row>
    <row r="63" spans="1:7" x14ac:dyDescent="0.35">
      <c r="A63" t="s">
        <v>9</v>
      </c>
      <c r="B63" t="s">
        <v>117</v>
      </c>
      <c r="C63">
        <v>22</v>
      </c>
      <c r="D63">
        <v>70</v>
      </c>
      <c r="E63">
        <v>78</v>
      </c>
      <c r="F63">
        <v>7</v>
      </c>
      <c r="G63">
        <f t="shared" si="0"/>
        <v>1540</v>
      </c>
    </row>
    <row r="64" spans="1:7" x14ac:dyDescent="0.35">
      <c r="A64" t="s">
        <v>9</v>
      </c>
      <c r="B64" t="s">
        <v>118</v>
      </c>
      <c r="C64">
        <v>18</v>
      </c>
      <c r="D64">
        <v>60</v>
      </c>
      <c r="E64">
        <v>92</v>
      </c>
      <c r="F64">
        <v>5</v>
      </c>
      <c r="G64">
        <f t="shared" si="0"/>
        <v>1080</v>
      </c>
    </row>
    <row r="65" spans="1:7" x14ac:dyDescent="0.35">
      <c r="A65" t="s">
        <v>9</v>
      </c>
      <c r="B65" t="s">
        <v>119</v>
      </c>
      <c r="C65">
        <v>25</v>
      </c>
      <c r="D65">
        <v>55</v>
      </c>
      <c r="E65">
        <v>88</v>
      </c>
      <c r="F65">
        <v>2</v>
      </c>
      <c r="G65">
        <f t="shared" si="0"/>
        <v>1375</v>
      </c>
    </row>
    <row r="66" spans="1:7" x14ac:dyDescent="0.35">
      <c r="A66" t="s">
        <v>9</v>
      </c>
      <c r="B66" t="s">
        <v>120</v>
      </c>
      <c r="C66">
        <v>20</v>
      </c>
      <c r="D66">
        <v>50</v>
      </c>
      <c r="E66">
        <v>80</v>
      </c>
      <c r="F66">
        <v>6</v>
      </c>
      <c r="G66">
        <f t="shared" ref="G66:G121" si="1">C66*D66</f>
        <v>1000</v>
      </c>
    </row>
    <row r="67" spans="1:7" x14ac:dyDescent="0.35">
      <c r="A67" t="s">
        <v>9</v>
      </c>
      <c r="B67" t="s">
        <v>121</v>
      </c>
      <c r="C67">
        <v>19</v>
      </c>
      <c r="D67">
        <v>65</v>
      </c>
      <c r="E67">
        <v>95</v>
      </c>
      <c r="F67">
        <v>4</v>
      </c>
      <c r="G67">
        <f t="shared" si="1"/>
        <v>1235</v>
      </c>
    </row>
    <row r="68" spans="1:7" x14ac:dyDescent="0.35">
      <c r="A68" t="s">
        <v>9</v>
      </c>
      <c r="B68" t="s">
        <v>122</v>
      </c>
      <c r="C68">
        <v>21</v>
      </c>
      <c r="D68">
        <v>70</v>
      </c>
      <c r="E68">
        <v>70</v>
      </c>
      <c r="F68">
        <v>10</v>
      </c>
      <c r="G68">
        <f t="shared" si="1"/>
        <v>1470</v>
      </c>
    </row>
    <row r="69" spans="1:7" x14ac:dyDescent="0.35">
      <c r="A69" t="s">
        <v>9</v>
      </c>
      <c r="B69" t="s">
        <v>123</v>
      </c>
      <c r="C69">
        <v>24</v>
      </c>
      <c r="D69">
        <v>60</v>
      </c>
      <c r="E69">
        <v>90</v>
      </c>
      <c r="F69">
        <v>5</v>
      </c>
      <c r="G69">
        <f t="shared" si="1"/>
        <v>1440</v>
      </c>
    </row>
    <row r="70" spans="1:7" x14ac:dyDescent="0.35">
      <c r="A70" t="s">
        <v>9</v>
      </c>
      <c r="B70" t="s">
        <v>124</v>
      </c>
      <c r="C70">
        <v>20</v>
      </c>
      <c r="D70">
        <v>55</v>
      </c>
      <c r="E70">
        <v>87</v>
      </c>
      <c r="F70">
        <v>8</v>
      </c>
      <c r="G70">
        <f t="shared" si="1"/>
        <v>1100</v>
      </c>
    </row>
    <row r="71" spans="1:7" x14ac:dyDescent="0.35">
      <c r="A71" t="s">
        <v>9</v>
      </c>
      <c r="B71" t="s">
        <v>125</v>
      </c>
      <c r="C71">
        <v>23</v>
      </c>
      <c r="D71">
        <v>50</v>
      </c>
      <c r="E71">
        <v>75</v>
      </c>
      <c r="F71">
        <v>3</v>
      </c>
      <c r="G71">
        <f t="shared" si="1"/>
        <v>1150</v>
      </c>
    </row>
    <row r="72" spans="1:7" x14ac:dyDescent="0.35">
      <c r="A72" t="s">
        <v>9</v>
      </c>
      <c r="B72" t="s">
        <v>126</v>
      </c>
      <c r="C72">
        <v>22</v>
      </c>
      <c r="D72">
        <v>75</v>
      </c>
      <c r="E72">
        <v>85</v>
      </c>
      <c r="F72">
        <v>6</v>
      </c>
      <c r="G72">
        <f t="shared" si="1"/>
        <v>1650</v>
      </c>
    </row>
    <row r="73" spans="1:7" x14ac:dyDescent="0.35">
      <c r="A73" t="s">
        <v>9</v>
      </c>
      <c r="B73" t="s">
        <v>127</v>
      </c>
      <c r="C73">
        <v>21</v>
      </c>
      <c r="D73">
        <v>80</v>
      </c>
      <c r="E73">
        <v>82</v>
      </c>
      <c r="F73">
        <v>4</v>
      </c>
      <c r="G73">
        <f t="shared" si="1"/>
        <v>1680</v>
      </c>
    </row>
    <row r="74" spans="1:7" x14ac:dyDescent="0.35">
      <c r="A74" t="s">
        <v>10</v>
      </c>
      <c r="B74" t="s">
        <v>116</v>
      </c>
      <c r="C74">
        <v>20</v>
      </c>
      <c r="D74">
        <v>50</v>
      </c>
      <c r="E74">
        <v>85</v>
      </c>
      <c r="F74">
        <v>3</v>
      </c>
      <c r="G74">
        <f t="shared" si="1"/>
        <v>1000</v>
      </c>
    </row>
    <row r="75" spans="1:7" x14ac:dyDescent="0.35">
      <c r="A75" t="s">
        <v>10</v>
      </c>
      <c r="B75" t="s">
        <v>117</v>
      </c>
      <c r="C75">
        <v>22</v>
      </c>
      <c r="D75">
        <v>70</v>
      </c>
      <c r="E75">
        <v>78</v>
      </c>
      <c r="F75">
        <v>7</v>
      </c>
      <c r="G75">
        <f t="shared" si="1"/>
        <v>1540</v>
      </c>
    </row>
    <row r="76" spans="1:7" x14ac:dyDescent="0.35">
      <c r="A76" t="s">
        <v>10</v>
      </c>
      <c r="B76" t="s">
        <v>118</v>
      </c>
      <c r="C76">
        <v>18</v>
      </c>
      <c r="D76">
        <v>60</v>
      </c>
      <c r="E76">
        <v>92</v>
      </c>
      <c r="F76">
        <v>5</v>
      </c>
      <c r="G76">
        <f t="shared" si="1"/>
        <v>1080</v>
      </c>
    </row>
    <row r="77" spans="1:7" x14ac:dyDescent="0.35">
      <c r="A77" t="s">
        <v>10</v>
      </c>
      <c r="B77" t="s">
        <v>119</v>
      </c>
      <c r="C77">
        <v>25</v>
      </c>
      <c r="D77">
        <v>55</v>
      </c>
      <c r="E77">
        <v>88</v>
      </c>
      <c r="F77">
        <v>2</v>
      </c>
      <c r="G77">
        <f t="shared" si="1"/>
        <v>1375</v>
      </c>
    </row>
    <row r="78" spans="1:7" x14ac:dyDescent="0.35">
      <c r="A78" t="s">
        <v>10</v>
      </c>
      <c r="B78" t="s">
        <v>120</v>
      </c>
      <c r="C78">
        <v>20</v>
      </c>
      <c r="D78">
        <v>50</v>
      </c>
      <c r="E78">
        <v>80</v>
      </c>
      <c r="F78">
        <v>6</v>
      </c>
      <c r="G78">
        <f t="shared" si="1"/>
        <v>1000</v>
      </c>
    </row>
    <row r="79" spans="1:7" x14ac:dyDescent="0.35">
      <c r="A79" t="s">
        <v>10</v>
      </c>
      <c r="B79" t="s">
        <v>121</v>
      </c>
      <c r="C79">
        <v>19</v>
      </c>
      <c r="D79">
        <v>65</v>
      </c>
      <c r="E79">
        <v>95</v>
      </c>
      <c r="F79">
        <v>4</v>
      </c>
      <c r="G79">
        <f t="shared" si="1"/>
        <v>1235</v>
      </c>
    </row>
    <row r="80" spans="1:7" x14ac:dyDescent="0.35">
      <c r="A80" t="s">
        <v>10</v>
      </c>
      <c r="B80" t="s">
        <v>122</v>
      </c>
      <c r="C80">
        <v>21</v>
      </c>
      <c r="D80">
        <v>70</v>
      </c>
      <c r="E80">
        <v>70</v>
      </c>
      <c r="F80">
        <v>10</v>
      </c>
      <c r="G80">
        <f t="shared" si="1"/>
        <v>1470</v>
      </c>
    </row>
    <row r="81" spans="1:7" x14ac:dyDescent="0.35">
      <c r="A81" t="s">
        <v>10</v>
      </c>
      <c r="B81" t="s">
        <v>123</v>
      </c>
      <c r="C81">
        <v>24</v>
      </c>
      <c r="D81">
        <v>60</v>
      </c>
      <c r="E81">
        <v>90</v>
      </c>
      <c r="F81">
        <v>5</v>
      </c>
      <c r="G81">
        <f t="shared" si="1"/>
        <v>1440</v>
      </c>
    </row>
    <row r="82" spans="1:7" x14ac:dyDescent="0.35">
      <c r="A82" t="s">
        <v>10</v>
      </c>
      <c r="B82" t="s">
        <v>124</v>
      </c>
      <c r="C82">
        <v>20</v>
      </c>
      <c r="D82">
        <v>55</v>
      </c>
      <c r="E82">
        <v>87</v>
      </c>
      <c r="F82">
        <v>8</v>
      </c>
      <c r="G82">
        <f t="shared" si="1"/>
        <v>1100</v>
      </c>
    </row>
    <row r="83" spans="1:7" x14ac:dyDescent="0.35">
      <c r="A83" t="s">
        <v>10</v>
      </c>
      <c r="B83" t="s">
        <v>125</v>
      </c>
      <c r="C83">
        <v>23</v>
      </c>
      <c r="D83">
        <v>50</v>
      </c>
      <c r="E83">
        <v>75</v>
      </c>
      <c r="F83">
        <v>3</v>
      </c>
      <c r="G83">
        <f t="shared" si="1"/>
        <v>1150</v>
      </c>
    </row>
    <row r="84" spans="1:7" x14ac:dyDescent="0.35">
      <c r="A84" t="s">
        <v>10</v>
      </c>
      <c r="B84" t="s">
        <v>126</v>
      </c>
      <c r="C84">
        <v>22</v>
      </c>
      <c r="D84">
        <v>75</v>
      </c>
      <c r="E84">
        <v>85</v>
      </c>
      <c r="F84">
        <v>6</v>
      </c>
      <c r="G84">
        <f t="shared" si="1"/>
        <v>1650</v>
      </c>
    </row>
    <row r="85" spans="1:7" x14ac:dyDescent="0.35">
      <c r="A85" t="s">
        <v>10</v>
      </c>
      <c r="B85" t="s">
        <v>127</v>
      </c>
      <c r="C85">
        <v>21</v>
      </c>
      <c r="D85">
        <v>80</v>
      </c>
      <c r="E85">
        <v>82</v>
      </c>
      <c r="F85">
        <v>4</v>
      </c>
      <c r="G85">
        <f t="shared" si="1"/>
        <v>1680</v>
      </c>
    </row>
    <row r="86" spans="1:7" x14ac:dyDescent="0.35">
      <c r="A86" t="s">
        <v>11</v>
      </c>
      <c r="B86" t="s">
        <v>116</v>
      </c>
      <c r="C86">
        <v>20</v>
      </c>
      <c r="D86">
        <v>50</v>
      </c>
      <c r="E86">
        <v>85</v>
      </c>
      <c r="F86">
        <v>3</v>
      </c>
      <c r="G86">
        <f t="shared" si="1"/>
        <v>1000</v>
      </c>
    </row>
    <row r="87" spans="1:7" x14ac:dyDescent="0.35">
      <c r="A87" t="s">
        <v>11</v>
      </c>
      <c r="B87" t="s">
        <v>117</v>
      </c>
      <c r="C87">
        <v>22</v>
      </c>
      <c r="D87">
        <v>70</v>
      </c>
      <c r="E87">
        <v>78</v>
      </c>
      <c r="F87">
        <v>7</v>
      </c>
      <c r="G87">
        <f t="shared" si="1"/>
        <v>1540</v>
      </c>
    </row>
    <row r="88" spans="1:7" x14ac:dyDescent="0.35">
      <c r="A88" t="s">
        <v>11</v>
      </c>
      <c r="B88" t="s">
        <v>118</v>
      </c>
      <c r="C88">
        <v>18</v>
      </c>
      <c r="D88">
        <v>60</v>
      </c>
      <c r="E88">
        <v>92</v>
      </c>
      <c r="F88">
        <v>5</v>
      </c>
      <c r="G88">
        <f t="shared" si="1"/>
        <v>1080</v>
      </c>
    </row>
    <row r="89" spans="1:7" x14ac:dyDescent="0.35">
      <c r="A89" t="s">
        <v>11</v>
      </c>
      <c r="B89" t="s">
        <v>119</v>
      </c>
      <c r="C89">
        <v>25</v>
      </c>
      <c r="D89">
        <v>55</v>
      </c>
      <c r="E89">
        <v>88</v>
      </c>
      <c r="F89">
        <v>2</v>
      </c>
      <c r="G89">
        <f t="shared" si="1"/>
        <v>1375</v>
      </c>
    </row>
    <row r="90" spans="1:7" x14ac:dyDescent="0.35">
      <c r="A90" t="s">
        <v>11</v>
      </c>
      <c r="B90" t="s">
        <v>120</v>
      </c>
      <c r="C90">
        <v>20</v>
      </c>
      <c r="D90">
        <v>50</v>
      </c>
      <c r="E90">
        <v>80</v>
      </c>
      <c r="F90">
        <v>6</v>
      </c>
      <c r="G90">
        <f t="shared" si="1"/>
        <v>1000</v>
      </c>
    </row>
    <row r="91" spans="1:7" x14ac:dyDescent="0.35">
      <c r="A91" t="s">
        <v>11</v>
      </c>
      <c r="B91" t="s">
        <v>121</v>
      </c>
      <c r="C91">
        <v>19</v>
      </c>
      <c r="D91">
        <v>65</v>
      </c>
      <c r="E91">
        <v>95</v>
      </c>
      <c r="F91">
        <v>4</v>
      </c>
      <c r="G91">
        <f t="shared" si="1"/>
        <v>1235</v>
      </c>
    </row>
    <row r="92" spans="1:7" x14ac:dyDescent="0.35">
      <c r="A92" t="s">
        <v>11</v>
      </c>
      <c r="B92" t="s">
        <v>122</v>
      </c>
      <c r="C92">
        <v>21</v>
      </c>
      <c r="D92">
        <v>70</v>
      </c>
      <c r="E92">
        <v>70</v>
      </c>
      <c r="F92">
        <v>10</v>
      </c>
      <c r="G92">
        <f t="shared" si="1"/>
        <v>1470</v>
      </c>
    </row>
    <row r="93" spans="1:7" x14ac:dyDescent="0.35">
      <c r="A93" t="s">
        <v>11</v>
      </c>
      <c r="B93" t="s">
        <v>123</v>
      </c>
      <c r="C93">
        <v>24</v>
      </c>
      <c r="D93">
        <v>60</v>
      </c>
      <c r="E93">
        <v>90</v>
      </c>
      <c r="F93">
        <v>5</v>
      </c>
      <c r="G93">
        <f t="shared" si="1"/>
        <v>1440</v>
      </c>
    </row>
    <row r="94" spans="1:7" x14ac:dyDescent="0.35">
      <c r="A94" t="s">
        <v>11</v>
      </c>
      <c r="B94" t="s">
        <v>124</v>
      </c>
      <c r="C94">
        <v>20</v>
      </c>
      <c r="D94">
        <v>55</v>
      </c>
      <c r="E94">
        <v>87</v>
      </c>
      <c r="F94">
        <v>8</v>
      </c>
      <c r="G94">
        <f t="shared" si="1"/>
        <v>1100</v>
      </c>
    </row>
    <row r="95" spans="1:7" x14ac:dyDescent="0.35">
      <c r="A95" t="s">
        <v>11</v>
      </c>
      <c r="B95" t="s">
        <v>125</v>
      </c>
      <c r="C95">
        <v>23</v>
      </c>
      <c r="D95">
        <v>50</v>
      </c>
      <c r="E95">
        <v>75</v>
      </c>
      <c r="F95">
        <v>3</v>
      </c>
      <c r="G95">
        <f t="shared" si="1"/>
        <v>1150</v>
      </c>
    </row>
    <row r="96" spans="1:7" x14ac:dyDescent="0.35">
      <c r="A96" t="s">
        <v>11</v>
      </c>
      <c r="B96" t="s">
        <v>126</v>
      </c>
      <c r="C96">
        <v>22</v>
      </c>
      <c r="D96">
        <v>75</v>
      </c>
      <c r="E96">
        <v>85</v>
      </c>
      <c r="F96">
        <v>6</v>
      </c>
      <c r="G96">
        <f t="shared" si="1"/>
        <v>1650</v>
      </c>
    </row>
    <row r="97" spans="1:7" x14ac:dyDescent="0.35">
      <c r="A97" t="s">
        <v>11</v>
      </c>
      <c r="B97" t="s">
        <v>127</v>
      </c>
      <c r="C97">
        <v>21</v>
      </c>
      <c r="D97">
        <v>80</v>
      </c>
      <c r="E97">
        <v>82</v>
      </c>
      <c r="F97">
        <v>4</v>
      </c>
      <c r="G97">
        <f t="shared" si="1"/>
        <v>1680</v>
      </c>
    </row>
    <row r="98" spans="1:7" x14ac:dyDescent="0.35">
      <c r="A98" t="s">
        <v>12</v>
      </c>
      <c r="B98" t="s">
        <v>116</v>
      </c>
      <c r="C98">
        <v>20</v>
      </c>
      <c r="D98">
        <v>50</v>
      </c>
      <c r="E98">
        <v>85</v>
      </c>
      <c r="F98">
        <v>3</v>
      </c>
      <c r="G98">
        <f t="shared" si="1"/>
        <v>1000</v>
      </c>
    </row>
    <row r="99" spans="1:7" x14ac:dyDescent="0.35">
      <c r="A99" t="s">
        <v>12</v>
      </c>
      <c r="B99" t="s">
        <v>117</v>
      </c>
      <c r="C99">
        <v>22</v>
      </c>
      <c r="D99">
        <v>70</v>
      </c>
      <c r="E99">
        <v>78</v>
      </c>
      <c r="F99">
        <v>7</v>
      </c>
      <c r="G99">
        <f t="shared" si="1"/>
        <v>1540</v>
      </c>
    </row>
    <row r="100" spans="1:7" x14ac:dyDescent="0.35">
      <c r="A100" t="s">
        <v>12</v>
      </c>
      <c r="B100" t="s">
        <v>118</v>
      </c>
      <c r="C100">
        <v>18</v>
      </c>
      <c r="D100">
        <v>60</v>
      </c>
      <c r="E100">
        <v>92</v>
      </c>
      <c r="F100">
        <v>5</v>
      </c>
      <c r="G100">
        <f t="shared" si="1"/>
        <v>1080</v>
      </c>
    </row>
    <row r="101" spans="1:7" x14ac:dyDescent="0.35">
      <c r="A101" t="s">
        <v>12</v>
      </c>
      <c r="B101" t="s">
        <v>119</v>
      </c>
      <c r="C101">
        <v>25</v>
      </c>
      <c r="D101">
        <v>55</v>
      </c>
      <c r="E101">
        <v>88</v>
      </c>
      <c r="F101">
        <v>2</v>
      </c>
      <c r="G101">
        <f t="shared" si="1"/>
        <v>1375</v>
      </c>
    </row>
    <row r="102" spans="1:7" x14ac:dyDescent="0.35">
      <c r="A102" t="s">
        <v>12</v>
      </c>
      <c r="B102" t="s">
        <v>120</v>
      </c>
      <c r="C102">
        <v>20</v>
      </c>
      <c r="D102">
        <v>50</v>
      </c>
      <c r="E102">
        <v>80</v>
      </c>
      <c r="F102">
        <v>6</v>
      </c>
      <c r="G102">
        <f t="shared" si="1"/>
        <v>1000</v>
      </c>
    </row>
    <row r="103" spans="1:7" x14ac:dyDescent="0.35">
      <c r="A103" t="s">
        <v>12</v>
      </c>
      <c r="B103" t="s">
        <v>121</v>
      </c>
      <c r="C103">
        <v>19</v>
      </c>
      <c r="D103">
        <v>65</v>
      </c>
      <c r="E103">
        <v>95</v>
      </c>
      <c r="F103">
        <v>4</v>
      </c>
      <c r="G103">
        <f t="shared" si="1"/>
        <v>1235</v>
      </c>
    </row>
    <row r="104" spans="1:7" x14ac:dyDescent="0.35">
      <c r="A104" t="s">
        <v>12</v>
      </c>
      <c r="B104" t="s">
        <v>122</v>
      </c>
      <c r="C104">
        <v>21</v>
      </c>
      <c r="D104">
        <v>70</v>
      </c>
      <c r="E104">
        <v>70</v>
      </c>
      <c r="F104">
        <v>10</v>
      </c>
      <c r="G104">
        <f t="shared" si="1"/>
        <v>1470</v>
      </c>
    </row>
    <row r="105" spans="1:7" x14ac:dyDescent="0.35">
      <c r="A105" t="s">
        <v>12</v>
      </c>
      <c r="B105" t="s">
        <v>123</v>
      </c>
      <c r="C105">
        <v>24</v>
      </c>
      <c r="D105">
        <v>60</v>
      </c>
      <c r="E105">
        <v>90</v>
      </c>
      <c r="F105">
        <v>5</v>
      </c>
      <c r="G105">
        <f t="shared" si="1"/>
        <v>1440</v>
      </c>
    </row>
    <row r="106" spans="1:7" x14ac:dyDescent="0.35">
      <c r="A106" t="s">
        <v>12</v>
      </c>
      <c r="B106" t="s">
        <v>124</v>
      </c>
      <c r="C106">
        <v>20</v>
      </c>
      <c r="D106">
        <v>55</v>
      </c>
      <c r="E106">
        <v>87</v>
      </c>
      <c r="F106">
        <v>8</v>
      </c>
      <c r="G106">
        <f t="shared" si="1"/>
        <v>1100</v>
      </c>
    </row>
    <row r="107" spans="1:7" x14ac:dyDescent="0.35">
      <c r="A107" t="s">
        <v>12</v>
      </c>
      <c r="B107" t="s">
        <v>125</v>
      </c>
      <c r="C107">
        <v>23</v>
      </c>
      <c r="D107">
        <v>50</v>
      </c>
      <c r="E107">
        <v>75</v>
      </c>
      <c r="F107">
        <v>3</v>
      </c>
      <c r="G107">
        <f t="shared" si="1"/>
        <v>1150</v>
      </c>
    </row>
    <row r="108" spans="1:7" x14ac:dyDescent="0.35">
      <c r="A108" t="s">
        <v>12</v>
      </c>
      <c r="B108" t="s">
        <v>126</v>
      </c>
      <c r="C108">
        <v>22</v>
      </c>
      <c r="D108">
        <v>75</v>
      </c>
      <c r="E108">
        <v>85</v>
      </c>
      <c r="F108">
        <v>6</v>
      </c>
      <c r="G108">
        <f t="shared" si="1"/>
        <v>1650</v>
      </c>
    </row>
    <row r="109" spans="1:7" x14ac:dyDescent="0.35">
      <c r="A109" t="s">
        <v>12</v>
      </c>
      <c r="B109" t="s">
        <v>127</v>
      </c>
      <c r="C109">
        <v>21</v>
      </c>
      <c r="D109">
        <v>80</v>
      </c>
      <c r="E109">
        <v>82</v>
      </c>
      <c r="F109">
        <v>4</v>
      </c>
      <c r="G109">
        <f t="shared" si="1"/>
        <v>1680</v>
      </c>
    </row>
    <row r="110" spans="1:7" x14ac:dyDescent="0.35">
      <c r="A110" t="s">
        <v>13</v>
      </c>
      <c r="B110" t="s">
        <v>116</v>
      </c>
      <c r="C110">
        <v>20</v>
      </c>
      <c r="D110">
        <v>50</v>
      </c>
      <c r="E110">
        <v>85</v>
      </c>
      <c r="F110">
        <v>3</v>
      </c>
      <c r="G110">
        <f t="shared" si="1"/>
        <v>1000</v>
      </c>
    </row>
    <row r="111" spans="1:7" x14ac:dyDescent="0.35">
      <c r="A111" t="s">
        <v>13</v>
      </c>
      <c r="B111" t="s">
        <v>117</v>
      </c>
      <c r="C111">
        <v>22</v>
      </c>
      <c r="D111">
        <v>70</v>
      </c>
      <c r="E111">
        <v>78</v>
      </c>
      <c r="F111">
        <v>7</v>
      </c>
      <c r="G111">
        <f t="shared" si="1"/>
        <v>1540</v>
      </c>
    </row>
    <row r="112" spans="1:7" x14ac:dyDescent="0.35">
      <c r="A112" t="s">
        <v>13</v>
      </c>
      <c r="B112" t="s">
        <v>118</v>
      </c>
      <c r="C112">
        <v>18</v>
      </c>
      <c r="D112">
        <v>60</v>
      </c>
      <c r="E112">
        <v>92</v>
      </c>
      <c r="F112">
        <v>5</v>
      </c>
      <c r="G112">
        <f t="shared" si="1"/>
        <v>1080</v>
      </c>
    </row>
    <row r="113" spans="1:7" x14ac:dyDescent="0.35">
      <c r="A113" t="s">
        <v>13</v>
      </c>
      <c r="B113" t="s">
        <v>119</v>
      </c>
      <c r="C113">
        <v>25</v>
      </c>
      <c r="D113">
        <v>55</v>
      </c>
      <c r="E113">
        <v>88</v>
      </c>
      <c r="F113">
        <v>2</v>
      </c>
      <c r="G113">
        <f t="shared" si="1"/>
        <v>1375</v>
      </c>
    </row>
    <row r="114" spans="1:7" x14ac:dyDescent="0.35">
      <c r="A114" t="s">
        <v>13</v>
      </c>
      <c r="B114" t="s">
        <v>120</v>
      </c>
      <c r="C114">
        <v>20</v>
      </c>
      <c r="D114">
        <v>50</v>
      </c>
      <c r="E114">
        <v>80</v>
      </c>
      <c r="F114">
        <v>6</v>
      </c>
      <c r="G114">
        <f t="shared" si="1"/>
        <v>1000</v>
      </c>
    </row>
    <row r="115" spans="1:7" x14ac:dyDescent="0.35">
      <c r="A115" t="s">
        <v>13</v>
      </c>
      <c r="B115" t="s">
        <v>121</v>
      </c>
      <c r="C115">
        <v>19</v>
      </c>
      <c r="D115">
        <v>65</v>
      </c>
      <c r="E115">
        <v>95</v>
      </c>
      <c r="F115">
        <v>4</v>
      </c>
      <c r="G115">
        <f t="shared" si="1"/>
        <v>1235</v>
      </c>
    </row>
    <row r="116" spans="1:7" x14ac:dyDescent="0.35">
      <c r="A116" t="s">
        <v>13</v>
      </c>
      <c r="B116" t="s">
        <v>122</v>
      </c>
      <c r="C116">
        <v>21</v>
      </c>
      <c r="D116">
        <v>70</v>
      </c>
      <c r="E116">
        <v>70</v>
      </c>
      <c r="F116">
        <v>10</v>
      </c>
      <c r="G116">
        <f t="shared" si="1"/>
        <v>1470</v>
      </c>
    </row>
    <row r="117" spans="1:7" x14ac:dyDescent="0.35">
      <c r="A117" t="s">
        <v>13</v>
      </c>
      <c r="B117" t="s">
        <v>123</v>
      </c>
      <c r="C117">
        <v>24</v>
      </c>
      <c r="D117">
        <v>60</v>
      </c>
      <c r="E117">
        <v>90</v>
      </c>
      <c r="F117">
        <v>5</v>
      </c>
      <c r="G117">
        <f t="shared" si="1"/>
        <v>1440</v>
      </c>
    </row>
    <row r="118" spans="1:7" x14ac:dyDescent="0.35">
      <c r="A118" t="s">
        <v>13</v>
      </c>
      <c r="B118" t="s">
        <v>124</v>
      </c>
      <c r="C118">
        <v>20</v>
      </c>
      <c r="D118">
        <v>55</v>
      </c>
      <c r="E118">
        <v>87</v>
      </c>
      <c r="F118">
        <v>8</v>
      </c>
      <c r="G118">
        <f t="shared" si="1"/>
        <v>1100</v>
      </c>
    </row>
    <row r="119" spans="1:7" x14ac:dyDescent="0.35">
      <c r="A119" t="s">
        <v>13</v>
      </c>
      <c r="B119" t="s">
        <v>125</v>
      </c>
      <c r="C119">
        <v>23</v>
      </c>
      <c r="D119">
        <v>50</v>
      </c>
      <c r="E119">
        <v>75</v>
      </c>
      <c r="F119">
        <v>3</v>
      </c>
      <c r="G119">
        <f t="shared" si="1"/>
        <v>1150</v>
      </c>
    </row>
    <row r="120" spans="1:7" x14ac:dyDescent="0.35">
      <c r="A120" t="s">
        <v>13</v>
      </c>
      <c r="B120" t="s">
        <v>126</v>
      </c>
      <c r="C120">
        <v>22</v>
      </c>
      <c r="D120">
        <v>75</v>
      </c>
      <c r="E120">
        <v>85</v>
      </c>
      <c r="F120">
        <v>6</v>
      </c>
      <c r="G120">
        <f t="shared" si="1"/>
        <v>1650</v>
      </c>
    </row>
    <row r="121" spans="1:7" x14ac:dyDescent="0.35">
      <c r="A121" t="s">
        <v>13</v>
      </c>
      <c r="B121" t="s">
        <v>127</v>
      </c>
      <c r="C121">
        <v>21</v>
      </c>
      <c r="D121">
        <v>80</v>
      </c>
      <c r="E121">
        <v>82</v>
      </c>
      <c r="F121">
        <v>4</v>
      </c>
      <c r="G121">
        <f t="shared" si="1"/>
        <v>1680</v>
      </c>
    </row>
  </sheetData>
  <conditionalFormatting sqref="E2:E121">
    <cfRule type="iconSet" priority="1">
      <iconSet iconSet="3Flags">
        <cfvo type="percent" val="0"/>
        <cfvo type="num" val="60"/>
        <cfvo type="num" val="80"/>
      </iconSet>
    </cfRule>
    <cfRule type="iconSet" priority="2">
      <iconSet iconSet="3Flags">
        <cfvo type="percent" val="0"/>
        <cfvo type="percent" val="60"/>
        <cfvo type="percent" val="80"/>
      </iconSet>
    </cfRule>
    <cfRule type="iconSet" priority="3">
      <iconSet iconSet="3Flags">
        <cfvo type="percent" val="0"/>
        <cfvo type="percent" val="60"/>
        <cfvo type="percent" val="80"/>
      </iconSet>
    </cfRule>
    <cfRule type="iconSet" priority="4">
      <iconSet iconSet="3Flags">
        <cfvo type="percent" val="0"/>
        <cfvo type="percent" val="33"/>
        <cfvo type="percent" val="67"/>
      </iconSet>
    </cfRule>
  </conditionalFormatting>
  <conditionalFormatting sqref="F2:F121">
    <cfRule type="cellIs" dxfId="0" priority="5" operator="greaterThan">
      <formula>5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15D52-0634-4789-8EA0-CB608234F6BF}">
  <dimension ref="A1:E8"/>
  <sheetViews>
    <sheetView workbookViewId="0">
      <selection sqref="A1:R41"/>
    </sheetView>
  </sheetViews>
  <sheetFormatPr defaultRowHeight="14.5" x14ac:dyDescent="0.35"/>
  <sheetData>
    <row r="1" spans="1:5" x14ac:dyDescent="0.35">
      <c r="A1" s="7" t="s">
        <v>2</v>
      </c>
      <c r="B1" t="s">
        <v>128</v>
      </c>
    </row>
    <row r="3" spans="1:5" x14ac:dyDescent="0.35">
      <c r="A3" s="7" t="s">
        <v>129</v>
      </c>
      <c r="B3" s="7" t="s">
        <v>130</v>
      </c>
    </row>
    <row r="4" spans="1:5" x14ac:dyDescent="0.35">
      <c r="A4" s="7" t="s">
        <v>131</v>
      </c>
      <c r="B4" t="s">
        <v>118</v>
      </c>
      <c r="C4" t="s">
        <v>121</v>
      </c>
      <c r="D4" t="s">
        <v>123</v>
      </c>
      <c r="E4" t="s">
        <v>132</v>
      </c>
    </row>
    <row r="5" spans="1:5" x14ac:dyDescent="0.35">
      <c r="A5" s="6" t="s">
        <v>7</v>
      </c>
      <c r="B5">
        <v>1080</v>
      </c>
      <c r="C5">
        <v>1235</v>
      </c>
      <c r="D5">
        <v>1440</v>
      </c>
      <c r="E5">
        <v>3755</v>
      </c>
    </row>
    <row r="6" spans="1:5" x14ac:dyDescent="0.35">
      <c r="A6" s="6" t="s">
        <v>8</v>
      </c>
      <c r="B6">
        <v>1080</v>
      </c>
      <c r="C6">
        <v>1235</v>
      </c>
      <c r="D6">
        <v>1440</v>
      </c>
      <c r="E6">
        <v>3755</v>
      </c>
    </row>
    <row r="7" spans="1:5" x14ac:dyDescent="0.35">
      <c r="A7" s="6" t="s">
        <v>4</v>
      </c>
      <c r="B7">
        <v>1080</v>
      </c>
      <c r="C7">
        <v>1235</v>
      </c>
      <c r="D7">
        <v>1440</v>
      </c>
      <c r="E7">
        <v>3755</v>
      </c>
    </row>
    <row r="8" spans="1:5" x14ac:dyDescent="0.35">
      <c r="A8" s="6" t="s">
        <v>132</v>
      </c>
      <c r="B8">
        <v>3240</v>
      </c>
      <c r="C8">
        <v>3705</v>
      </c>
      <c r="D8">
        <v>4320</v>
      </c>
      <c r="E8">
        <v>11265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A3ACF-DA2D-464D-A2F4-5E8AC67E4C8E}">
  <dimension ref="A1:F18"/>
  <sheetViews>
    <sheetView topLeftCell="E13" workbookViewId="0">
      <selection activeCell="B18" sqref="B18"/>
    </sheetView>
  </sheetViews>
  <sheetFormatPr defaultRowHeight="14.5" x14ac:dyDescent="0.35"/>
  <cols>
    <col min="1" max="1" width="18.36328125" bestFit="1" customWidth="1"/>
    <col min="2" max="2" width="11.81640625" bestFit="1" customWidth="1"/>
    <col min="3" max="3" width="15.6328125" bestFit="1" customWidth="1"/>
    <col min="4" max="4" width="24.90625" bestFit="1" customWidth="1"/>
    <col min="5" max="5" width="9.6328125" bestFit="1" customWidth="1"/>
    <col min="6" max="6" width="15.90625" bestFit="1" customWidth="1"/>
  </cols>
  <sheetData>
    <row r="1" spans="1:6" x14ac:dyDescent="0.35">
      <c r="A1" s="3" t="s">
        <v>114</v>
      </c>
      <c r="B1" s="3" t="s">
        <v>133</v>
      </c>
      <c r="C1" s="3" t="s">
        <v>115</v>
      </c>
      <c r="D1" s="3" t="s">
        <v>134</v>
      </c>
      <c r="E1" s="3" t="s">
        <v>142</v>
      </c>
      <c r="F1" s="3" t="s">
        <v>2</v>
      </c>
    </row>
    <row r="2" spans="1:6" x14ac:dyDescent="0.35">
      <c r="A2" t="s">
        <v>116</v>
      </c>
      <c r="B2">
        <v>6.75</v>
      </c>
      <c r="C2">
        <v>4.58</v>
      </c>
      <c r="D2">
        <v>1417.05</v>
      </c>
      <c r="E2">
        <v>8</v>
      </c>
      <c r="F2">
        <v>85</v>
      </c>
    </row>
    <row r="3" spans="1:6" x14ac:dyDescent="0.35">
      <c r="A3" t="s">
        <v>117</v>
      </c>
      <c r="B3">
        <v>8.59</v>
      </c>
      <c r="C3">
        <v>4</v>
      </c>
      <c r="D3">
        <v>1357.92</v>
      </c>
      <c r="E3">
        <v>0</v>
      </c>
      <c r="F3">
        <v>78</v>
      </c>
    </row>
    <row r="4" spans="1:6" x14ac:dyDescent="0.35">
      <c r="A4" t="s">
        <v>118</v>
      </c>
      <c r="B4">
        <v>6.33</v>
      </c>
      <c r="C4">
        <v>3.94</v>
      </c>
      <c r="D4">
        <v>2720.3</v>
      </c>
      <c r="E4">
        <v>4</v>
      </c>
      <c r="F4">
        <v>92</v>
      </c>
    </row>
    <row r="5" spans="1:6" x14ac:dyDescent="0.35">
      <c r="A5" t="s">
        <v>119</v>
      </c>
      <c r="B5">
        <v>2.6</v>
      </c>
      <c r="C5">
        <v>4.13</v>
      </c>
      <c r="D5">
        <v>1360.28</v>
      </c>
      <c r="E5">
        <v>10</v>
      </c>
      <c r="F5">
        <v>88</v>
      </c>
    </row>
    <row r="6" spans="1:6" x14ac:dyDescent="0.35">
      <c r="A6" t="s">
        <v>120</v>
      </c>
      <c r="B6">
        <v>9.59</v>
      </c>
      <c r="C6">
        <v>4.53</v>
      </c>
      <c r="D6">
        <v>2681.12</v>
      </c>
      <c r="E6">
        <v>6</v>
      </c>
      <c r="F6">
        <v>80</v>
      </c>
    </row>
    <row r="7" spans="1:6" x14ac:dyDescent="0.35">
      <c r="A7" t="s">
        <v>121</v>
      </c>
      <c r="B7">
        <v>5.61</v>
      </c>
      <c r="C7">
        <v>6.73</v>
      </c>
      <c r="D7">
        <v>1696.29</v>
      </c>
      <c r="E7">
        <v>8</v>
      </c>
      <c r="F7">
        <v>95</v>
      </c>
    </row>
    <row r="8" spans="1:6" x14ac:dyDescent="0.35">
      <c r="A8" t="s">
        <v>122</v>
      </c>
      <c r="B8">
        <v>7.44</v>
      </c>
      <c r="C8">
        <v>3.32</v>
      </c>
      <c r="D8">
        <v>1759.57</v>
      </c>
      <c r="E8">
        <v>12</v>
      </c>
      <c r="F8">
        <v>70</v>
      </c>
    </row>
    <row r="9" spans="1:6" x14ac:dyDescent="0.35">
      <c r="A9" t="s">
        <v>123</v>
      </c>
      <c r="B9">
        <v>3.86</v>
      </c>
      <c r="C9">
        <v>5.96</v>
      </c>
      <c r="D9">
        <v>1476.85</v>
      </c>
      <c r="E9">
        <v>0</v>
      </c>
      <c r="F9">
        <v>90</v>
      </c>
    </row>
    <row r="10" spans="1:6" x14ac:dyDescent="0.35">
      <c r="A10" t="s">
        <v>124</v>
      </c>
      <c r="B10">
        <v>6.39</v>
      </c>
      <c r="C10">
        <v>6.51</v>
      </c>
      <c r="D10">
        <v>2660.86</v>
      </c>
      <c r="E10">
        <v>14</v>
      </c>
      <c r="F10">
        <v>87</v>
      </c>
    </row>
    <row r="11" spans="1:6" x14ac:dyDescent="0.35">
      <c r="A11" t="s">
        <v>125</v>
      </c>
      <c r="B11">
        <v>7.45</v>
      </c>
      <c r="C11">
        <v>6.94</v>
      </c>
      <c r="D11">
        <v>1648.34</v>
      </c>
      <c r="E11">
        <v>12</v>
      </c>
      <c r="F11">
        <v>75</v>
      </c>
    </row>
    <row r="12" spans="1:6" x14ac:dyDescent="0.35">
      <c r="A12" t="s">
        <v>126</v>
      </c>
      <c r="B12">
        <v>5.85</v>
      </c>
      <c r="C12">
        <v>6.36</v>
      </c>
      <c r="D12">
        <v>1539.14</v>
      </c>
      <c r="E12">
        <v>5</v>
      </c>
      <c r="F12">
        <v>85</v>
      </c>
    </row>
    <row r="13" spans="1:6" x14ac:dyDescent="0.35">
      <c r="A13" t="s">
        <v>127</v>
      </c>
      <c r="B13">
        <v>6.72</v>
      </c>
      <c r="C13">
        <v>7.21</v>
      </c>
      <c r="D13">
        <v>2091.35</v>
      </c>
      <c r="E13">
        <v>4</v>
      </c>
      <c r="F13">
        <v>88</v>
      </c>
    </row>
    <row r="15" spans="1:6" ht="15" thickBot="1" x14ac:dyDescent="0.4"/>
    <row r="16" spans="1:6" x14ac:dyDescent="0.35">
      <c r="A16" s="8" t="s">
        <v>143</v>
      </c>
      <c r="B16" s="9">
        <f>AVERAGE(B2:B13)</f>
        <v>6.4316666666666658</v>
      </c>
    </row>
    <row r="17" spans="1:2" x14ac:dyDescent="0.35">
      <c r="A17" s="10" t="s">
        <v>144</v>
      </c>
      <c r="B17" s="11">
        <f>AVERAGE(C2:C13)</f>
        <v>5.3508333333333331</v>
      </c>
    </row>
    <row r="18" spans="1:2" ht="15" thickBot="1" x14ac:dyDescent="0.4">
      <c r="A18" s="12" t="s">
        <v>145</v>
      </c>
      <c r="B18" s="13">
        <f>AVERAGE(F2:F13)</f>
        <v>84.416666666666671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38505-EA9B-4DFA-92DC-6CC054C5E57A}">
  <dimension ref="A1:E13"/>
  <sheetViews>
    <sheetView workbookViewId="0">
      <selection activeCell="I35" sqref="I35"/>
    </sheetView>
  </sheetViews>
  <sheetFormatPr defaultRowHeight="14.5" x14ac:dyDescent="0.35"/>
  <sheetData>
    <row r="1" spans="1:5" x14ac:dyDescent="0.35">
      <c r="A1" s="3" t="s">
        <v>114</v>
      </c>
      <c r="B1" s="3" t="s">
        <v>133</v>
      </c>
      <c r="C1" s="3" t="s">
        <v>115</v>
      </c>
      <c r="D1" s="3" t="s">
        <v>134</v>
      </c>
      <c r="E1" s="3" t="s">
        <v>135</v>
      </c>
    </row>
    <row r="2" spans="1:5" x14ac:dyDescent="0.35">
      <c r="A2" t="s">
        <v>116</v>
      </c>
      <c r="B2">
        <v>4.1100000000000003</v>
      </c>
      <c r="C2">
        <v>3.1</v>
      </c>
      <c r="D2">
        <v>1619.75</v>
      </c>
      <c r="E2" t="s">
        <v>136</v>
      </c>
    </row>
    <row r="3" spans="1:5" x14ac:dyDescent="0.35">
      <c r="A3" t="s">
        <v>117</v>
      </c>
      <c r="B3">
        <v>2.5499999999999998</v>
      </c>
      <c r="C3">
        <v>7.67</v>
      </c>
      <c r="D3">
        <v>1762.56</v>
      </c>
      <c r="E3" t="s">
        <v>137</v>
      </c>
    </row>
    <row r="4" spans="1:5" x14ac:dyDescent="0.35">
      <c r="A4" t="s">
        <v>118</v>
      </c>
      <c r="B4">
        <v>6.01</v>
      </c>
      <c r="C4">
        <v>4.5599999999999996</v>
      </c>
      <c r="D4">
        <v>2042.17</v>
      </c>
      <c r="E4" t="s">
        <v>138</v>
      </c>
    </row>
    <row r="5" spans="1:5" x14ac:dyDescent="0.35">
      <c r="A5" t="s">
        <v>119</v>
      </c>
      <c r="B5">
        <v>9.83</v>
      </c>
      <c r="C5">
        <v>4.2300000000000004</v>
      </c>
      <c r="D5">
        <v>1499.11</v>
      </c>
      <c r="E5" t="s">
        <v>139</v>
      </c>
    </row>
    <row r="6" spans="1:5" x14ac:dyDescent="0.35">
      <c r="A6" t="s">
        <v>120</v>
      </c>
      <c r="B6">
        <v>2.89</v>
      </c>
      <c r="C6">
        <v>5.68</v>
      </c>
      <c r="D6">
        <v>1255.29</v>
      </c>
      <c r="E6" t="s">
        <v>140</v>
      </c>
    </row>
    <row r="7" spans="1:5" x14ac:dyDescent="0.35">
      <c r="A7" t="s">
        <v>121</v>
      </c>
      <c r="B7">
        <v>4.1900000000000004</v>
      </c>
      <c r="C7">
        <v>6.56</v>
      </c>
      <c r="D7">
        <v>2737.31</v>
      </c>
      <c r="E7" t="s">
        <v>141</v>
      </c>
    </row>
    <row r="8" spans="1:5" x14ac:dyDescent="0.35">
      <c r="A8" t="s">
        <v>122</v>
      </c>
      <c r="B8">
        <v>3.33</v>
      </c>
      <c r="C8">
        <v>8</v>
      </c>
      <c r="D8">
        <v>2714.01</v>
      </c>
      <c r="E8" t="s">
        <v>136</v>
      </c>
    </row>
    <row r="9" spans="1:5" x14ac:dyDescent="0.35">
      <c r="A9" t="s">
        <v>123</v>
      </c>
      <c r="B9">
        <v>6.03</v>
      </c>
      <c r="C9">
        <v>6.94</v>
      </c>
      <c r="D9">
        <v>2956.8</v>
      </c>
      <c r="E9" t="s">
        <v>137</v>
      </c>
    </row>
    <row r="10" spans="1:5" x14ac:dyDescent="0.35">
      <c r="A10" t="s">
        <v>124</v>
      </c>
      <c r="B10">
        <v>2.09</v>
      </c>
      <c r="C10">
        <v>5.9</v>
      </c>
      <c r="D10">
        <v>2830.89</v>
      </c>
      <c r="E10" t="s">
        <v>138</v>
      </c>
    </row>
    <row r="11" spans="1:5" x14ac:dyDescent="0.35">
      <c r="A11" t="s">
        <v>125</v>
      </c>
      <c r="B11">
        <v>4.3</v>
      </c>
      <c r="C11">
        <v>5.84</v>
      </c>
      <c r="D11">
        <v>2148.84</v>
      </c>
      <c r="E11" t="s">
        <v>139</v>
      </c>
    </row>
    <row r="12" spans="1:5" x14ac:dyDescent="0.35">
      <c r="A12" t="s">
        <v>126</v>
      </c>
      <c r="B12">
        <v>5.48</v>
      </c>
      <c r="C12">
        <v>7.73</v>
      </c>
      <c r="D12">
        <v>2505.89</v>
      </c>
      <c r="E12" t="s">
        <v>140</v>
      </c>
    </row>
    <row r="13" spans="1:5" x14ac:dyDescent="0.35">
      <c r="A13" t="s">
        <v>127</v>
      </c>
      <c r="B13">
        <v>6.4</v>
      </c>
      <c r="C13">
        <v>6.23</v>
      </c>
      <c r="D13">
        <v>2569.1999999999998</v>
      </c>
      <c r="E13" t="s">
        <v>141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BB401-4E86-4018-ADC2-08A162F1C1AD}">
  <dimension ref="A2:D17"/>
  <sheetViews>
    <sheetView workbookViewId="0">
      <selection activeCell="H14" sqref="H14"/>
    </sheetView>
  </sheetViews>
  <sheetFormatPr defaultRowHeight="14.5" x14ac:dyDescent="0.35"/>
  <cols>
    <col min="1" max="1" width="17.7265625" bestFit="1" customWidth="1"/>
    <col min="2" max="2" width="19.90625" bestFit="1" customWidth="1"/>
    <col min="3" max="3" width="23.7265625" bestFit="1" customWidth="1"/>
    <col min="4" max="4" width="33" bestFit="1" customWidth="1"/>
  </cols>
  <sheetData>
    <row r="2" spans="1:4" x14ac:dyDescent="0.35">
      <c r="A2" s="7" t="s">
        <v>135</v>
      </c>
      <c r="B2" t="s">
        <v>149</v>
      </c>
    </row>
    <row r="4" spans="1:4" x14ac:dyDescent="0.35">
      <c r="A4" s="7" t="s">
        <v>131</v>
      </c>
      <c r="B4" t="s">
        <v>146</v>
      </c>
      <c r="C4" t="s">
        <v>147</v>
      </c>
      <c r="D4" t="s">
        <v>148</v>
      </c>
    </row>
    <row r="5" spans="1:4" x14ac:dyDescent="0.35">
      <c r="A5" s="6" t="s">
        <v>116</v>
      </c>
      <c r="B5" s="14">
        <v>4.1100000000000003</v>
      </c>
      <c r="C5" s="14">
        <v>3.1</v>
      </c>
      <c r="D5" s="14">
        <v>1619.75</v>
      </c>
    </row>
    <row r="6" spans="1:4" x14ac:dyDescent="0.35">
      <c r="A6" s="6" t="s">
        <v>117</v>
      </c>
      <c r="B6" s="14">
        <v>2.5499999999999998</v>
      </c>
      <c r="C6" s="14">
        <v>7.67</v>
      </c>
      <c r="D6" s="14">
        <v>1762.56</v>
      </c>
    </row>
    <row r="7" spans="1:4" x14ac:dyDescent="0.35">
      <c r="A7" s="6" t="s">
        <v>118</v>
      </c>
      <c r="B7" s="14">
        <v>6.01</v>
      </c>
      <c r="C7" s="14">
        <v>4.5599999999999996</v>
      </c>
      <c r="D7" s="14">
        <v>2042.17</v>
      </c>
    </row>
    <row r="8" spans="1:4" x14ac:dyDescent="0.35">
      <c r="A8" s="6" t="s">
        <v>119</v>
      </c>
      <c r="B8" s="14">
        <v>9.83</v>
      </c>
      <c r="C8" s="14">
        <v>4.2300000000000004</v>
      </c>
      <c r="D8" s="14">
        <v>1499.11</v>
      </c>
    </row>
    <row r="9" spans="1:4" x14ac:dyDescent="0.35">
      <c r="A9" s="6" t="s">
        <v>120</v>
      </c>
      <c r="B9" s="14">
        <v>2.89</v>
      </c>
      <c r="C9" s="14">
        <v>5.68</v>
      </c>
      <c r="D9" s="14">
        <v>1255.29</v>
      </c>
    </row>
    <row r="10" spans="1:4" x14ac:dyDescent="0.35">
      <c r="A10" s="6" t="s">
        <v>121</v>
      </c>
      <c r="B10" s="14">
        <v>4.1900000000000004</v>
      </c>
      <c r="C10" s="14">
        <v>6.56</v>
      </c>
      <c r="D10" s="14">
        <v>2737.31</v>
      </c>
    </row>
    <row r="11" spans="1:4" x14ac:dyDescent="0.35">
      <c r="A11" s="6" t="s">
        <v>122</v>
      </c>
      <c r="B11" s="14">
        <v>3.33</v>
      </c>
      <c r="C11" s="14">
        <v>8</v>
      </c>
      <c r="D11" s="14">
        <v>2714.01</v>
      </c>
    </row>
    <row r="12" spans="1:4" x14ac:dyDescent="0.35">
      <c r="A12" s="6" t="s">
        <v>123</v>
      </c>
      <c r="B12" s="14">
        <v>6.03</v>
      </c>
      <c r="C12" s="14">
        <v>6.94</v>
      </c>
      <c r="D12" s="14">
        <v>2956.8</v>
      </c>
    </row>
    <row r="13" spans="1:4" x14ac:dyDescent="0.35">
      <c r="A13" s="6" t="s">
        <v>124</v>
      </c>
      <c r="B13" s="14">
        <v>2.09</v>
      </c>
      <c r="C13" s="14">
        <v>5.9</v>
      </c>
      <c r="D13" s="14">
        <v>2830.89</v>
      </c>
    </row>
    <row r="14" spans="1:4" x14ac:dyDescent="0.35">
      <c r="A14" s="6" t="s">
        <v>125</v>
      </c>
      <c r="B14" s="14">
        <v>4.3</v>
      </c>
      <c r="C14" s="14">
        <v>5.84</v>
      </c>
      <c r="D14" s="14">
        <v>2148.84</v>
      </c>
    </row>
    <row r="15" spans="1:4" x14ac:dyDescent="0.35">
      <c r="A15" s="6" t="s">
        <v>126</v>
      </c>
      <c r="B15" s="14">
        <v>5.48</v>
      </c>
      <c r="C15" s="14">
        <v>7.73</v>
      </c>
      <c r="D15" s="14">
        <v>2505.89</v>
      </c>
    </row>
    <row r="16" spans="1:4" x14ac:dyDescent="0.35">
      <c r="A16" s="6" t="s">
        <v>127</v>
      </c>
      <c r="B16" s="14">
        <v>6.4</v>
      </c>
      <c r="C16" s="14">
        <v>6.23</v>
      </c>
      <c r="D16" s="14">
        <v>2569.1999999999998</v>
      </c>
    </row>
    <row r="17" spans="1:4" x14ac:dyDescent="0.35">
      <c r="A17" s="6" t="s">
        <v>132</v>
      </c>
      <c r="B17" s="14">
        <v>57.21</v>
      </c>
      <c r="C17" s="14">
        <v>72.44</v>
      </c>
      <c r="D17" s="14">
        <v>26641.82</v>
      </c>
    </row>
  </sheetData>
  <pageMargins left="0.511811024" right="0.511811024" top="0.78740157499999996" bottom="0.78740157499999996" header="0.31496062000000002" footer="0.31496062000000002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Metadata/LabelInfo.xml><?xml version="1.0" encoding="utf-8"?>
<clbl:labelList xmlns:clbl="http://schemas.microsoft.com/office/2020/mipLabelMetadata">
  <clbl:label id="{93efdb75-1196-44d1-bfab-25a16bdab7b9}" enabled="0" method="" siteId="{93efdb75-1196-44d1-bfab-25a16bdab7b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11</vt:i4>
      </vt:variant>
    </vt:vector>
  </HeadingPairs>
  <TitlesOfParts>
    <vt:vector size="11" baseType="lpstr">
      <vt:lpstr>Dashboard</vt:lpstr>
      <vt:lpstr>Status</vt:lpstr>
      <vt:lpstr>Colaboradores</vt:lpstr>
      <vt:lpstr>Benefícios</vt:lpstr>
      <vt:lpstr>Tempo</vt:lpstr>
      <vt:lpstr>SOMASE</vt:lpstr>
      <vt:lpstr>Custos mensais</vt:lpstr>
      <vt:lpstr>Tabela dinâmica</vt:lpstr>
      <vt:lpstr>Gráficos</vt:lpstr>
      <vt:lpstr>Segmentação</vt:lpstr>
      <vt:lpstr>Tabela dinamica segmentada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P. Siqueira</dc:creator>
  <cp:lastModifiedBy>Raissa Fidelis de Borges</cp:lastModifiedBy>
  <dcterms:created xsi:type="dcterms:W3CDTF">2024-12-19T19:43:11Z</dcterms:created>
  <dcterms:modified xsi:type="dcterms:W3CDTF">2026-04-22T15:40:07Z</dcterms:modified>
</cp:coreProperties>
</file>